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hongkiatkoh/Developer/timeless-workspace/projects/"/>
    </mc:Choice>
  </mc:AlternateContent>
  <xr:revisionPtr revIDLastSave="0" documentId="13_ncr:1_{47A22F24-6172-EF42-9284-C2214DC5EBF6}" xr6:coauthVersionLast="47" xr6:coauthVersionMax="47" xr10:uidLastSave="{00000000-0000-0000-0000-000000000000}"/>
  <bookViews>
    <workbookView xWindow="13360" yWindow="2220" windowWidth="31840" windowHeight="22560" xr2:uid="{00000000-000D-0000-FFFF-FFFF00000000}"/>
  </bookViews>
  <sheets>
    <sheet name="Dashboard" sheetId="1" r:id="rId1"/>
    <sheet name="GlobalETF" sheetId="2" r:id="rId2"/>
    <sheet name="GrowthEngine" sheetId="3" r:id="rId3"/>
    <sheet name="IncomeStrategy" sheetId="4" r:id="rId4"/>
    <sheet name="Gold" sheetId="5" r:id="rId5"/>
    <sheet name="Todo" sheetId="7" r:id="rId6"/>
  </sheets>
  <externalReferences>
    <externalReference r:id="rId7"/>
    <externalReference r:id="rId8"/>
  </externalReferences>
  <definedNames>
    <definedName name="_xlnm._FilterDatabase" localSheetId="3" hidden="1">IncomeStrategy!$A$1:$E$1</definedName>
    <definedName name="ExternalData_1" localSheetId="0" hidden="1">Dashboard!$J$41:$K$46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 a="1"/>
  <c r="I19" i="1" s="1"/>
  <c r="F19" i="1" a="1"/>
  <c r="F19" i="1" s="1"/>
  <c r="I21" i="1"/>
  <c r="F21" i="1"/>
  <c r="H48" i="1"/>
  <c r="H51" i="1"/>
  <c r="I16" i="1"/>
  <c r="F16" i="1"/>
  <c r="F14" i="1"/>
  <c r="I14" i="1"/>
  <c r="C24" i="1"/>
  <c r="K14" i="1" l="1"/>
  <c r="I17" i="1"/>
  <c r="I13" i="1"/>
  <c r="I10" i="1"/>
  <c r="I9" i="1"/>
  <c r="F17" i="1"/>
  <c r="F13" i="1"/>
  <c r="F10" i="1"/>
  <c r="F9" i="1"/>
  <c r="I23" i="1"/>
  <c r="F23" i="1"/>
  <c r="F4" i="1" a="1"/>
  <c r="F4" i="1" s="1"/>
  <c r="I22" i="1"/>
  <c r="F22" i="1"/>
  <c r="I20" i="1" a="1"/>
  <c r="I20" i="1" s="1"/>
  <c r="F20" i="1" a="1"/>
  <c r="F20" i="1" s="1"/>
  <c r="I18" i="1"/>
  <c r="F18" i="1"/>
  <c r="I15" i="1"/>
  <c r="F15" i="1"/>
  <c r="I12" i="1"/>
  <c r="F12" i="1"/>
  <c r="I8" i="1"/>
  <c r="F8" i="1"/>
  <c r="I7" i="1"/>
  <c r="F7" i="1"/>
  <c r="I6" i="1"/>
  <c r="F6" i="1"/>
  <c r="I5" i="1"/>
  <c r="F5" i="1"/>
  <c r="I4" i="1" a="1"/>
  <c r="I4" i="1" s="1"/>
  <c r="A58" i="1"/>
  <c r="A57" i="1"/>
  <c r="A56" i="1"/>
  <c r="A55" i="1"/>
  <c r="A54" i="1"/>
  <c r="A53" i="1"/>
  <c r="A52" i="1"/>
  <c r="K17" i="1" l="1"/>
  <c r="K9" i="1"/>
  <c r="G46" i="1"/>
  <c r="K23" i="1"/>
  <c r="C58" i="1" s="1"/>
  <c r="I11" i="1"/>
  <c r="H2" i="1" s="1"/>
  <c r="F11" i="1"/>
  <c r="K10" i="1"/>
  <c r="K8" i="1"/>
  <c r="K7" i="1"/>
  <c r="K5" i="1"/>
  <c r="K6" i="1"/>
  <c r="K20" i="1"/>
  <c r="C55" i="1" s="1"/>
  <c r="K21" i="1"/>
  <c r="C56" i="1" s="1"/>
  <c r="K22" i="1"/>
  <c r="C57" i="1" s="1"/>
  <c r="K12" i="1"/>
  <c r="K13" i="1"/>
  <c r="K15" i="1"/>
  <c r="K18" i="1"/>
  <c r="K16" i="1"/>
  <c r="K19" i="1"/>
  <c r="C54" i="1" s="1"/>
  <c r="K4" i="1"/>
  <c r="C52" i="1" s="1"/>
  <c r="H21" i="1" l="1"/>
  <c r="H20" i="1"/>
  <c r="H19" i="1"/>
  <c r="J19" i="1" s="1"/>
  <c r="H23" i="1"/>
  <c r="H22" i="1"/>
  <c r="H11" i="1"/>
  <c r="H4" i="1"/>
  <c r="H9" i="1" s="1"/>
  <c r="J9" i="1" s="1"/>
  <c r="E2" i="1"/>
  <c r="K11" i="1"/>
  <c r="C53" i="1" s="1"/>
  <c r="E20" i="1" l="1"/>
  <c r="G20" i="1" s="1"/>
  <c r="E21" i="1"/>
  <c r="G21" i="1" s="1"/>
  <c r="H17" i="1"/>
  <c r="J17" i="1" s="1"/>
  <c r="H14" i="1"/>
  <c r="J14" i="1" s="1"/>
  <c r="H16" i="1"/>
  <c r="J16" i="1" s="1"/>
  <c r="H12" i="1"/>
  <c r="J12" i="1" s="1"/>
  <c r="H18" i="1"/>
  <c r="J18" i="1" s="1"/>
  <c r="H15" i="1"/>
  <c r="J15" i="1" s="1"/>
  <c r="H13" i="1"/>
  <c r="J13" i="1" s="1"/>
  <c r="G22" i="1"/>
  <c r="J22" i="1"/>
  <c r="J11" i="1"/>
  <c r="G23" i="1"/>
  <c r="J23" i="1"/>
  <c r="E23" i="1"/>
  <c r="G42" i="1"/>
  <c r="E22" i="1"/>
  <c r="E11" i="1"/>
  <c r="E19" i="1"/>
  <c r="G19" i="1" s="1"/>
  <c r="E4" i="1"/>
  <c r="E9" i="1" s="1"/>
  <c r="G9" i="1" s="1"/>
  <c r="H7" i="1"/>
  <c r="J7" i="1" s="1"/>
  <c r="H6" i="1"/>
  <c r="J6" i="1" s="1"/>
  <c r="H10" i="1"/>
  <c r="J10" i="1" s="1"/>
  <c r="J4" i="1"/>
  <c r="H5" i="1"/>
  <c r="J5" i="1" s="1"/>
  <c r="H8" i="1"/>
  <c r="J8" i="1" s="1"/>
  <c r="D20" i="1" l="1"/>
  <c r="D21" i="1"/>
  <c r="E17" i="1"/>
  <c r="G17" i="1" s="1"/>
  <c r="E14" i="1"/>
  <c r="G14" i="1" s="1"/>
  <c r="E12" i="1"/>
  <c r="G12" i="1" s="1"/>
  <c r="E15" i="1"/>
  <c r="G15" i="1" s="1"/>
  <c r="E16" i="1"/>
  <c r="G16" i="1" s="1"/>
  <c r="E18" i="1"/>
  <c r="G18" i="1" s="1"/>
  <c r="E13" i="1"/>
  <c r="G13" i="1" s="1"/>
  <c r="G11" i="1"/>
  <c r="J20" i="1"/>
  <c r="G44" i="1"/>
  <c r="H43" i="1" s="1"/>
  <c r="H45" i="1"/>
  <c r="D23" i="1"/>
  <c r="D11" i="1"/>
  <c r="D22" i="1"/>
  <c r="D4" i="1"/>
  <c r="D9" i="1" s="1"/>
  <c r="L9" i="1" s="1"/>
  <c r="D19" i="1"/>
  <c r="E10" i="1"/>
  <c r="G10" i="1" s="1"/>
  <c r="E8" i="1"/>
  <c r="G8" i="1" s="1"/>
  <c r="E5" i="1"/>
  <c r="G5" i="1" s="1"/>
  <c r="E7" i="1"/>
  <c r="G7" i="1" s="1"/>
  <c r="E6" i="1"/>
  <c r="G6" i="1" s="1"/>
  <c r="G4" i="1"/>
  <c r="J21" i="1"/>
  <c r="D17" i="1" l="1"/>
  <c r="L17" i="1" s="1"/>
  <c r="D14" i="1"/>
  <c r="L14" i="1" s="1"/>
  <c r="B53" i="1"/>
  <c r="D12" i="1"/>
  <c r="L12" i="1" s="1"/>
  <c r="D18" i="1"/>
  <c r="L18" i="1" s="1"/>
  <c r="D13" i="1"/>
  <c r="L13" i="1" s="1"/>
  <c r="D16" i="1"/>
  <c r="L16" i="1" s="1"/>
  <c r="D15" i="1"/>
  <c r="L15" i="1" s="1"/>
  <c r="L11" i="1"/>
  <c r="B58" i="1"/>
  <c r="L23" i="1"/>
  <c r="B54" i="1"/>
  <c r="L19" i="1"/>
  <c r="B52" i="1"/>
  <c r="D7" i="1"/>
  <c r="L7" i="1" s="1"/>
  <c r="D8" i="1"/>
  <c r="L8" i="1" s="1"/>
  <c r="D6" i="1"/>
  <c r="L6" i="1" s="1"/>
  <c r="D5" i="1"/>
  <c r="L5" i="1" s="1"/>
  <c r="D10" i="1"/>
  <c r="L10" i="1" s="1"/>
  <c r="L4" i="1"/>
  <c r="B57" i="1"/>
  <c r="L22" i="1"/>
  <c r="B56" i="1" l="1"/>
  <c r="L21" i="1"/>
  <c r="L20" i="1"/>
  <c r="B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Kiat Koh</author>
  </authors>
  <commentList>
    <comment ref="F4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Reads all tickers from the GlobalETF sheet column A
</t>
        </r>
        <r>
          <rPr>
            <sz val="11"/>
            <color rgb="FF000000"/>
            <rFont val="Calibri"/>
            <family val="2"/>
          </rPr>
          <t xml:space="preserve">Looks for matching symbols in PositionsHK column F
</t>
        </r>
        <r>
          <rPr>
            <sz val="11"/>
            <color rgb="FF000000"/>
            <rFont val="Calibri"/>
            <family val="2"/>
          </rPr>
          <t>Sums the corresponding PositionValue from column O</t>
        </r>
      </text>
    </comment>
    <comment ref="F19" authorId="0" shapeId="0" xr:uid="{251562D2-9ED7-E049-AAAA-9E660B8B838E}">
      <text>
        <r>
          <rPr>
            <b/>
            <sz val="10"/>
            <color rgb="FF000000"/>
            <rFont val="Tahoma"/>
            <family val="2"/>
          </rPr>
          <t>Hong Kiat Koh: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What it now does: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Sums all stocks from your IncomeStrategy list (covered calls, secured puts on these)
</t>
        </r>
        <r>
          <rPr>
            <sz val="10"/>
            <color rgb="FF000000"/>
            <rFont val="Tahoma"/>
            <family val="2"/>
          </rPr>
          <t xml:space="preserve">Adds all OPT positions (stock options income strategies)
</t>
        </r>
        <r>
          <rPr>
            <sz val="10"/>
            <color rgb="FF000000"/>
            <rFont val="Tahoma"/>
            <family val="2"/>
          </rPr>
          <t xml:space="preserve">Subtracts SPY options (these are insurance, go to F21)
</t>
        </r>
        <r>
          <rPr>
            <sz val="10"/>
            <color rgb="FF000000"/>
            <rFont val="Tahoma"/>
            <family val="2"/>
          </rPr>
          <t xml:space="preserve">Subtracts QQQ options (these are insurance, go to F21)
</t>
        </r>
        <r>
          <rPr>
            <sz val="10"/>
            <color rgb="FF000000"/>
            <rFont val="Tahoma"/>
            <family val="2"/>
          </rPr>
          <t xml:space="preserve">Adds all FOP positions (futures options income strategies like iron condors)
</t>
        </r>
        <r>
          <rPr>
            <sz val="10"/>
            <color rgb="FF000000"/>
            <rFont val="Tahoma"/>
            <family val="2"/>
          </rPr>
          <t xml:space="preserve">Subtracts SPY futures options (insurance)
</t>
        </r>
        <r>
          <rPr>
            <sz val="10"/>
            <color rgb="FF000000"/>
            <rFont val="Tahoma"/>
            <family val="2"/>
          </rPr>
          <t>Subtracts QQQ futures options (insurance)</t>
        </r>
      </text>
    </comment>
    <comment ref="F21" authorId="0" shapeId="0" xr:uid="{1EF5D387-E706-A04F-A297-0E5FA3B2C38F}">
      <text>
        <r>
          <rPr>
            <b/>
            <sz val="10"/>
            <color rgb="FF000000"/>
            <rFont val="Tahoma"/>
            <family val="2"/>
          </rPr>
          <t>Hong Kiat Koh: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SPY and QQQ bear spreads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683B01-22F0-6543-B99B-7200B6978CC9}" keepAlive="1" name="Query - Query" description="Connection to the 'Query' query in the workbook." type="5" refreshedVersion="0" background="1">
    <dbPr connection="Provider=Microsoft.Mashup.OleDb.1;Data Source=$Workbook$;Location=Query;Extended Properties=&quot;&quot;" command="SELECT * FROM [Query]"/>
  </connection>
  <connection id="2" xr16:uid="{5914EF22-6A21-1D49-88C8-84D4D4FFB99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<sst xmlns="http://schemas.openxmlformats.org/spreadsheetml/2006/main" count="273" uniqueCount="199">
  <si>
    <t>HK</t>
  </si>
  <si>
    <t>AL</t>
  </si>
  <si>
    <t>TOTAL</t>
  </si>
  <si>
    <t>Category</t>
  </si>
  <si>
    <t>Percent</t>
  </si>
  <si>
    <t>Target</t>
  </si>
  <si>
    <t>Actual Total</t>
  </si>
  <si>
    <t>Actual %</t>
  </si>
  <si>
    <t>Remarks</t>
  </si>
  <si>
    <t>Security (LOCK)</t>
  </si>
  <si>
    <t>Energy (INRA)</t>
  </si>
  <si>
    <t>Ticker</t>
  </si>
  <si>
    <t>CNY</t>
  </si>
  <si>
    <t>DHL</t>
  </si>
  <si>
    <t>EUR</t>
  </si>
  <si>
    <t>ES3</t>
  </si>
  <si>
    <t>SGD</t>
  </si>
  <si>
    <t>VWRA</t>
  </si>
  <si>
    <t>USD</t>
  </si>
  <si>
    <t>Primary Exchange</t>
  </si>
  <si>
    <t>AUM (USD)</t>
  </si>
  <si>
    <t>Exp. Ratio</t>
  </si>
  <si>
    <t>2025 Return</t>
  </si>
  <si>
    <t>Strategy Profile</t>
  </si>
  <si>
    <t>CSNDX</t>
  </si>
  <si>
    <t>HEAL</t>
  </si>
  <si>
    <t>INRA</t>
  </si>
  <si>
    <t>LOCK</t>
  </si>
  <si>
    <t>Best For</t>
  </si>
  <si>
    <t>2026 Profile</t>
  </si>
  <si>
    <t>Why It Works?</t>
  </si>
  <si>
    <t>SPY</t>
  </si>
  <si>
    <t>Broad Market</t>
  </si>
  <si>
    <t>All Strategies</t>
  </si>
  <si>
    <t>Tracks S&amp;P 500; ultra-liquid.</t>
  </si>
  <si>
    <t>Zero single-stock risk. Best for daily (0DTE) income and high-probability CSPs.</t>
  </si>
  <si>
    <t>ADBE</t>
  </si>
  <si>
    <t>Broad Tech</t>
  </si>
  <si>
    <t>Strangles</t>
  </si>
  <si>
    <t>High-margin AI creative tools.</t>
  </si>
  <si>
    <t>High share price; "smooth" price action with low spread slippage.</t>
  </si>
  <si>
    <t>AMD</t>
  </si>
  <si>
    <t>High retail volume; volatile.</t>
  </si>
  <si>
    <t>More affordable alternative to NVDA with high premium yield.</t>
  </si>
  <si>
    <t>CSP / Wheel</t>
  </si>
  <si>
    <t>CRM</t>
  </si>
  <si>
    <t>Subscription-based cash flow.</t>
  </si>
  <si>
    <t>Low downside risk due to recurring revenue stability.</t>
  </si>
  <si>
    <t>CSCO</t>
  </si>
  <si>
    <t>CSP / CC</t>
  </si>
  <si>
    <t>Defensive; bond-like value.</t>
  </si>
  <si>
    <t>Best for conservative traders looking for very high win rates.</t>
  </si>
  <si>
    <t>ORCL</t>
  </si>
  <si>
    <t>Massive cloud backlog.</t>
  </si>
  <si>
    <t>Higher volatility than MSFT, offering better Strangle returns.</t>
  </si>
  <si>
    <t>COST</t>
  </si>
  <si>
    <t>Consumer Staples</t>
  </si>
  <si>
    <t>CSP / Iron Condors</t>
  </si>
  <si>
    <t>Strong 8.2% net sales growth; high membership renewal rates; 20%+ digital sales growth in early FY2026.</t>
  </si>
  <si>
    <t>Differentiated membership model creates recurring revenue; bulk-buying value proposition is highly attractive to cost-conscious consumers during a recession.</t>
  </si>
  <si>
    <t>PEP</t>
  </si>
  <si>
    <t>CSP / Dividend Growth</t>
  </si>
  <si>
    <t>Targeting 4-6% revenue growth; record productivity savings from automation; 53+ years of consecutive dividend increases.</t>
  </si>
  <si>
    <t>High nearly 4% yield provides a price floor; inelastic demand for snacks/beverages offers stable cash flow even in downturns.</t>
  </si>
  <si>
    <t>WMT</t>
  </si>
  <si>
    <t>Global omnichannel leader with 27%+ e-commerce growth; expanding high-margin ad and membership streams.</t>
  </si>
  <si>
    <t>Defensive giant that gains market share during recessions as consumers "trade down" to its everyday low prices.</t>
  </si>
  <si>
    <t>XOM</t>
  </si>
  <si>
    <t>Energy</t>
  </si>
  <si>
    <t>Massive buybacks &amp; FCF.</t>
  </si>
  <si>
    <t>Corporate buybacks create a "synthetic floor" for put sellers.</t>
  </si>
  <si>
    <t>JPM</t>
  </si>
  <si>
    <t>Financials</t>
  </si>
  <si>
    <t>Fortress balance sheet; 15% ROE.</t>
  </si>
  <si>
    <t>The gold standard for the "Wheel" strategy in financials.</t>
  </si>
  <si>
    <t>V</t>
  </si>
  <si>
    <t>50%+ net profit margins.</t>
  </si>
  <si>
    <t>"Toll booth" business model provides exceptional price stability.</t>
  </si>
  <si>
    <t>LLY</t>
  </si>
  <si>
    <t>Healthcare</t>
  </si>
  <si>
    <t>GLP-1 (weight loss) drug leader.</t>
  </si>
  <si>
    <t>Growth-stock premiums in a historically stable sector.</t>
  </si>
  <si>
    <t>UNH</t>
  </si>
  <si>
    <t>High share price; steady FCF.</t>
  </si>
  <si>
    <t>High dollar-value premiums per contract; very liquid.</t>
  </si>
  <si>
    <t>AAPL</t>
  </si>
  <si>
    <t>Mag 7 / IT</t>
  </si>
  <si>
    <t>Covered Calls</t>
  </si>
  <si>
    <t>$4T market cap; Services growth.</t>
  </si>
  <si>
    <t>Tightest spreads in the market; perfect for low-risk "rent" collection.</t>
  </si>
  <si>
    <t>AMZN</t>
  </si>
  <si>
    <t>AWS/Ads driving 60% of profits.</t>
  </si>
  <si>
    <t>High range-bound predictability; resists sector-wide selloffs.</t>
  </si>
  <si>
    <t>GOOGL</t>
  </si>
  <si>
    <t>Iron Condors</t>
  </si>
  <si>
    <t>Cloud profit engine; range-bound.</t>
  </si>
  <si>
    <t>Predictable behavior between technical support/resistance levels.</t>
  </si>
  <si>
    <t>META</t>
  </si>
  <si>
    <t>Credit Spreads</t>
  </si>
  <si>
    <t>Robust buybacks; high net margins.</t>
  </si>
  <si>
    <t>Strong price momentum; high premium relative to its price.</t>
  </si>
  <si>
    <t>MSFT</t>
  </si>
  <si>
    <t>$30B+ quarterly net income.</t>
  </si>
  <si>
    <t>"Safety king"; high institutional support creates strong price floors.</t>
  </si>
  <si>
    <t>NVDA</t>
  </si>
  <si>
    <t>Strangles / CC</t>
  </si>
  <si>
    <t>High IV; $500B+ AI order backlog.</t>
  </si>
  <si>
    <t>Highest premium yield; deep liquidity for rolling trades.</t>
  </si>
  <si>
    <t>TSLA</t>
  </si>
  <si>
    <t>CC / CSP</t>
  </si>
  <si>
    <t>Extremely high IV; high beta.</t>
  </si>
  <si>
    <t>Maximum income potential; best for aggressive cost-basis reduction.</t>
  </si>
  <si>
    <t>QQQ</t>
  </si>
  <si>
    <t>Tech Index</t>
  </si>
  <si>
    <t>Tracks Nasdaq 100; higher IV than SPY.</t>
  </si>
  <si>
    <t>Captures tech growth volatility without the risk of a single company failing.</t>
  </si>
  <si>
    <t>GSD</t>
  </si>
  <si>
    <t>Physical Gold ETF (Bullion-backed)</t>
  </si>
  <si>
    <t>Wealth preservation &amp; Portfolio insurance</t>
  </si>
  <si>
    <t>Bullish Outlook: Price targets are pushing toward $5,000/oz by Q4 2026.</t>
  </si>
  <si>
    <t>Diversification: High liquidity and low correlation to traditional stocks.</t>
  </si>
  <si>
    <t>Biotic (HEAL)</t>
  </si>
  <si>
    <t>VWRA/VT: The concrete foundation. ES3/DHL: The income pillars (Stability/Cash Flow). 82846: The growth pillar (China exposure).</t>
  </si>
  <si>
    <t>82846 (china etf)</t>
  </si>
  <si>
    <t>DHL (dividend)</t>
  </si>
  <si>
    <t>ES3 (singapore banks)</t>
  </si>
  <si>
    <t>VWRA (VT USD)</t>
  </si>
  <si>
    <t>Actual</t>
  </si>
  <si>
    <t>Total</t>
  </si>
  <si>
    <t>Invested</t>
  </si>
  <si>
    <t>Cash</t>
  </si>
  <si>
    <t xml:space="preserve">Actual % </t>
  </si>
  <si>
    <t>Currency</t>
  </si>
  <si>
    <t>WORLD (VT, no EM, hedged)</t>
  </si>
  <si>
    <t>XMME (EM, unhedged)</t>
  </si>
  <si>
    <t>CHF</t>
  </si>
  <si>
    <t>Nasdaq (CSNDX)</t>
  </si>
  <si>
    <t>Nasdaq (EQCH, hedged)</t>
  </si>
  <si>
    <t>Energy (GRID)</t>
  </si>
  <si>
    <t>China Tech (CBUK, unhedged)</t>
  </si>
  <si>
    <t>Global Triads (the strategic core)</t>
  </si>
  <si>
    <t>Four Horsemen (growth engine)</t>
  </si>
  <si>
    <t>The Vault (Gold)</t>
  </si>
  <si>
    <t>The War Chest (Cash)</t>
  </si>
  <si>
    <t>WORLD</t>
  </si>
  <si>
    <t>XMME</t>
  </si>
  <si>
    <t>Focus and Sector</t>
  </si>
  <si>
    <t>Expense Ratio</t>
  </si>
  <si>
    <t>Investment Strategy Profile</t>
  </si>
  <si>
    <t>AUM</t>
  </si>
  <si>
    <t>1 Year Returns</t>
  </si>
  <si>
    <t>~CNY 1.45B</t>
  </si>
  <si>
    <t>N/A</t>
  </si>
  <si>
    <t>+29.64%</t>
  </si>
  <si>
    <t>0.30%</t>
  </si>
  <si>
    <t>~SGD 2.4B</t>
  </si>
  <si>
    <t>+34.03%</t>
  </si>
  <si>
    <t>0.19%</t>
  </si>
  <si>
    <t>~USD 51.5B</t>
  </si>
  <si>
    <t>+22.49%</t>
  </si>
  <si>
    <t>0.55%</t>
  </si>
  <si>
    <t>~CHF 981M</t>
  </si>
  <si>
    <t>+13.29%</t>
  </si>
  <si>
    <t>0.18%</t>
  </si>
  <si>
    <t>~CHF 7.85B</t>
  </si>
  <si>
    <t>+14.72%</t>
  </si>
  <si>
    <t>Deutsche Post AG - logistics/freight)</t>
  </si>
  <si>
    <t>EQCH</t>
  </si>
  <si>
    <t>CBUK</t>
  </si>
  <si>
    <t>GRID</t>
  </si>
  <si>
    <t>Germany</t>
  </si>
  <si>
    <t>Swiss</t>
  </si>
  <si>
    <t>Netherlands</t>
  </si>
  <si>
    <t>Country</t>
  </si>
  <si>
    <t>UK</t>
  </si>
  <si>
    <t>1.1b</t>
  </si>
  <si>
    <t>2.1b</t>
  </si>
  <si>
    <t>600m</t>
  </si>
  <si>
    <t>22.5b</t>
  </si>
  <si>
    <t>686m</t>
  </si>
  <si>
    <t>1.0b</t>
  </si>
  <si>
    <t>1.6b</t>
  </si>
  <si>
    <t>CurrencyPrimary</t>
  </si>
  <si>
    <t>Total Value USD</t>
  </si>
  <si>
    <t>CNH</t>
  </si>
  <si>
    <t>The Omega (insurance, SPY and QQQ bear spreads)</t>
  </si>
  <si>
    <t>The Alpha (theme stocks)</t>
  </si>
  <si>
    <t>Cash Cow (income Strategy, wheel/CSPs/CC/callOpts)</t>
  </si>
  <si>
    <t xml:space="preserve">Singapore Blue-Chip Equities </t>
  </si>
  <si>
    <t>China Large &amp; Mid-Cap Equities</t>
  </si>
  <si>
    <t>CSI 300 Index</t>
  </si>
  <si>
    <t>integrated freight &amp; logistics company. Dividend yield ~4.5%</t>
  </si>
  <si>
    <t>Straits Times Index 30 Singapore companies including DBS, OCBC, UOB</t>
  </si>
  <si>
    <t>Global All-World Equities</t>
  </si>
  <si>
    <t>Developed + Emerging Markets, ~3,900 holdings across 50 countries</t>
  </si>
  <si>
    <t>Developed Markets Equities</t>
  </si>
  <si>
    <t>Emerging Markets Equities</t>
  </si>
  <si>
    <t>large &amp; mid-cap stocks from 24 emerging market countries</t>
  </si>
  <si>
    <t>MSCI World Index, CHF-hedged, Large &amp; Mid-Cap stocks 23 developed countries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</si>
</sst>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&quot;$&quot;* #,##0_);_(&quot;$&quot;* \(#,##0\);_(&quot;$&quot;* &quot;-&quot;??_);_(@_)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onsolas"/>
      <family val="2"/>
    </font>
    <font>
      <b/>
      <sz val="12"/>
      <color theme="1"/>
      <name val="Consolas"/>
      <family val="2"/>
    </font>
    <font>
      <sz val="12"/>
      <color rgb="FF1F1F1F"/>
      <name val="Consolas"/>
      <family val="2"/>
    </font>
    <font>
      <i/>
      <sz val="12"/>
      <color theme="1"/>
      <name val="Consolas"/>
      <family val="2"/>
    </font>
    <font>
      <i/>
      <sz val="10"/>
      <color theme="1"/>
      <name val="Consolas"/>
      <family val="2"/>
    </font>
    <font>
      <sz val="11"/>
      <color rgb="FF000000"/>
      <name val="Calibri"/>
      <family val="2"/>
    </font>
    <font>
      <i/>
      <sz val="12"/>
      <color theme="1" tint="0.14999847407452621"/>
      <name val="Consolas"/>
      <family val="2"/>
    </font>
    <font>
      <b/>
      <sz val="12"/>
      <name val="Consolas"/>
      <family val="2"/>
    </font>
    <font>
      <sz val="10"/>
      <color theme="1"/>
      <name val="Consolas"/>
      <family val="2"/>
    </font>
    <font>
      <b/>
      <sz val="10"/>
      <color theme="1"/>
      <name val="Consolas"/>
      <family val="2"/>
    </font>
    <font>
      <sz val="9"/>
      <color theme="1"/>
      <name val="Consolas"/>
      <family val="2"/>
    </font>
    <font>
      <sz val="10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4" fontId="1" fillId="0" borderId="0"/>
    <xf numFmtId="9" fontId="1" fillId="0" borderId="0"/>
    <xf numFmtId="43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/>
    <xf numFmtId="10" fontId="2" fillId="0" borderId="0" xfId="0" applyNumberFormat="1" applyFont="1"/>
    <xf numFmtId="44" fontId="2" fillId="0" borderId="0" xfId="0" applyNumberFormat="1" applyFont="1"/>
    <xf numFmtId="0" fontId="2" fillId="0" borderId="2" xfId="0" applyFont="1" applyBorder="1"/>
    <xf numFmtId="0" fontId="4" fillId="0" borderId="2" xfId="0" applyFont="1" applyBorder="1"/>
    <xf numFmtId="0" fontId="2" fillId="0" borderId="3" xfId="0" applyFont="1" applyBorder="1"/>
    <xf numFmtId="164" fontId="2" fillId="0" borderId="3" xfId="0" applyNumberFormat="1" applyFont="1" applyBorder="1"/>
    <xf numFmtId="44" fontId="2" fillId="0" borderId="3" xfId="0" applyNumberFormat="1" applyFont="1" applyBorder="1"/>
    <xf numFmtId="9" fontId="2" fillId="0" borderId="0" xfId="2" applyFont="1"/>
    <xf numFmtId="0" fontId="3" fillId="0" borderId="0" xfId="0" applyFont="1"/>
    <xf numFmtId="0" fontId="8" fillId="0" borderId="0" xfId="0" applyFont="1"/>
    <xf numFmtId="0" fontId="5" fillId="0" borderId="0" xfId="0" applyFont="1"/>
    <xf numFmtId="0" fontId="6" fillId="0" borderId="0" xfId="0" applyFont="1"/>
    <xf numFmtId="0" fontId="2" fillId="0" borderId="0" xfId="0" applyFont="1" applyAlignment="1">
      <alignment wrapText="1"/>
    </xf>
    <xf numFmtId="0" fontId="3" fillId="0" borderId="1" xfId="0" applyFont="1" applyBorder="1" applyAlignment="1">
      <alignment horizontal="center"/>
    </xf>
    <xf numFmtId="0" fontId="10" fillId="0" borderId="0" xfId="0" applyFont="1"/>
    <xf numFmtId="0" fontId="11" fillId="0" borderId="0" xfId="0" applyFont="1"/>
    <xf numFmtId="165" fontId="11" fillId="0" borderId="0" xfId="1" applyNumberFormat="1" applyFont="1"/>
    <xf numFmtId="165" fontId="11" fillId="0" borderId="0" xfId="0" applyNumberFormat="1" applyFont="1"/>
    <xf numFmtId="0" fontId="12" fillId="0" borderId="0" xfId="0" applyFont="1"/>
    <xf numFmtId="166" fontId="10" fillId="0" borderId="0" xfId="3" applyNumberFormat="1" applyFont="1"/>
    <xf numFmtId="10" fontId="13" fillId="0" borderId="0" xfId="2" applyNumberFormat="1" applyFont="1"/>
    <xf numFmtId="165" fontId="3" fillId="0" borderId="0" xfId="1" applyNumberFormat="1" applyFont="1"/>
    <xf numFmtId="165" fontId="8" fillId="0" borderId="0" xfId="1" applyNumberFormat="1" applyFont="1"/>
    <xf numFmtId="165" fontId="5" fillId="0" borderId="0" xfId="1" applyNumberFormat="1" applyFont="1"/>
    <xf numFmtId="0" fontId="3" fillId="0" borderId="5" xfId="0" applyFont="1" applyBorder="1"/>
    <xf numFmtId="44" fontId="3" fillId="0" borderId="5" xfId="1" applyFont="1" applyBorder="1"/>
    <xf numFmtId="44" fontId="2" fillId="0" borderId="0" xfId="1" applyFont="1"/>
    <xf numFmtId="0" fontId="3" fillId="0" borderId="4" xfId="0" applyFont="1" applyBorder="1" applyAlignment="1">
      <alignment horizontal="center"/>
    </xf>
    <xf numFmtId="165" fontId="3" fillId="0" borderId="5" xfId="1" applyNumberFormat="1" applyFont="1" applyBorder="1"/>
    <xf numFmtId="165" fontId="8" fillId="0" borderId="5" xfId="1" applyNumberFormat="1" applyFont="1" applyBorder="1"/>
    <xf numFmtId="165" fontId="5" fillId="0" borderId="5" xfId="1" applyNumberFormat="1" applyFont="1" applyBorder="1"/>
    <xf numFmtId="165" fontId="3" fillId="0" borderId="4" xfId="1" applyNumberFormat="1" applyFont="1" applyBorder="1"/>
    <xf numFmtId="0" fontId="2" fillId="0" borderId="7" xfId="0" applyFont="1" applyBorder="1"/>
    <xf numFmtId="44" fontId="2" fillId="0" borderId="7" xfId="1" applyFont="1" applyBorder="1"/>
    <xf numFmtId="0" fontId="3" fillId="0" borderId="8" xfId="0" applyFont="1" applyBorder="1" applyAlignment="1">
      <alignment horizontal="center"/>
    </xf>
    <xf numFmtId="9" fontId="3" fillId="0" borderId="7" xfId="2" applyFont="1" applyBorder="1"/>
    <xf numFmtId="9" fontId="8" fillId="0" borderId="7" xfId="2" applyFont="1" applyBorder="1"/>
    <xf numFmtId="9" fontId="5" fillId="0" borderId="7" xfId="2" applyFont="1" applyBorder="1"/>
    <xf numFmtId="9" fontId="3" fillId="0" borderId="8" xfId="2" applyFont="1" applyBorder="1"/>
    <xf numFmtId="0" fontId="2" fillId="0" borderId="9" xfId="0" applyFont="1" applyBorder="1"/>
    <xf numFmtId="0" fontId="3" fillId="0" borderId="6" xfId="0" applyFont="1" applyBorder="1"/>
    <xf numFmtId="0" fontId="3" fillId="0" borderId="9" xfId="0" applyFont="1" applyBorder="1"/>
    <xf numFmtId="0" fontId="5" fillId="0" borderId="9" xfId="0" applyFont="1" applyBorder="1" applyAlignment="1">
      <alignment horizontal="left" indent="4"/>
    </xf>
    <xf numFmtId="0" fontId="2" fillId="0" borderId="5" xfId="0" applyFont="1" applyBorder="1"/>
    <xf numFmtId="165" fontId="3" fillId="0" borderId="5" xfId="0" applyNumberFormat="1" applyFont="1" applyBorder="1"/>
    <xf numFmtId="165" fontId="8" fillId="0" borderId="5" xfId="0" applyNumberFormat="1" applyFont="1" applyBorder="1"/>
    <xf numFmtId="165" fontId="5" fillId="0" borderId="5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0" fontId="5" fillId="0" borderId="0" xfId="0" applyFont="1" applyAlignment="1">
      <alignment horizontal="left" indent="4"/>
    </xf>
    <xf numFmtId="164" fontId="3" fillId="0" borderId="0" xfId="2" applyNumberFormat="1" applyFont="1"/>
    <xf numFmtId="164" fontId="8" fillId="0" borderId="0" xfId="2" applyNumberFormat="1" applyFont="1"/>
    <xf numFmtId="164" fontId="5" fillId="0" borderId="0" xfId="2" applyNumberFormat="1" applyFont="1"/>
    <xf numFmtId="165" fontId="9" fillId="2" borderId="1" xfId="1" applyNumberFormat="1" applyFont="1" applyFill="1" applyBorder="1" applyAlignment="1">
      <alignment horizontal="right"/>
    </xf>
    <xf numFmtId="165" fontId="1" fillId="0" borderId="0" xfId="1" applyNumberFormat="1"/>
  </cellXfs>
  <cellStyles count="4">
    <cellStyle name="Comma" xfId="3" builtinId="3"/>
    <cellStyle name="Currency" xfId="1" builtinId="4"/>
    <cellStyle name="Normal" xfId="0" builtinId="0"/>
    <cellStyle name="Per cent" xfId="2" builtinId="5"/>
  </cellStyles>
  <dxfs count="33"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numFmt numFmtId="165" formatCode="_(&quot;$&quot;* #,##0_);_(&quot;$&quot;* \(#,##0\);_(&quot;$&quot;* &quot;-&quot;??_);_(@_)"/>
    </dxf>
  </dxfs>
  <tableStyles count="0" defaultTableStyle="TableStyleMedium9" defaultPivotStyle="PivotStyleLight16"/>
  <colors>
    <mruColors>
      <color rgb="FFFF7E79"/>
      <color rgb="FFFF2600"/>
      <color rgb="FFFFFD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Dashboard!$B$51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Dashboard!$A$52:$A$58</c:f>
              <c:strCache>
                <c:ptCount val="7"/>
                <c:pt idx="0">
                  <c:v>Global Triads (the strategic core)</c:v>
                </c:pt>
                <c:pt idx="1">
                  <c:v>Four Horsemen (growth engine)</c:v>
                </c:pt>
                <c:pt idx="2">
                  <c:v>Cash Cow (income Strategy, wheel/CSPs/CC/callOpts)</c:v>
                </c:pt>
                <c:pt idx="3">
                  <c:v>The Alpha (theme stocks)</c:v>
                </c:pt>
                <c:pt idx="4">
                  <c:v>The Omega (insurance, SPY and QQQ bear spreads)</c:v>
                </c:pt>
                <c:pt idx="5">
                  <c:v>The Vault (Gold)</c:v>
                </c:pt>
                <c:pt idx="6">
                  <c:v>The War Chest (Cash)</c:v>
                </c:pt>
              </c:strCache>
            </c:strRef>
          </c:cat>
          <c:val>
            <c:numRef>
              <c:f>Dashboard!$B$52:$B$58</c:f>
              <c:numCache>
                <c:formatCode>_("$"* #,##0_);_("$"* \(#,##0\);_("$"* "-"??_);_(@_)</c:formatCode>
                <c:ptCount val="7"/>
                <c:pt idx="0">
                  <c:v>282356.97500999999</c:v>
                </c:pt>
                <c:pt idx="1">
                  <c:v>282356.97500999999</c:v>
                </c:pt>
                <c:pt idx="2">
                  <c:v>235297.47917500001</c:v>
                </c:pt>
                <c:pt idx="3">
                  <c:v>23529.747917500004</c:v>
                </c:pt>
                <c:pt idx="4">
                  <c:v>23529.747917500004</c:v>
                </c:pt>
                <c:pt idx="5">
                  <c:v>47059.495835000009</c:v>
                </c:pt>
                <c:pt idx="6">
                  <c:v>47059.495835000009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EB-B049-85E5-F5553A4B093C}"/>
            </c:ext>
          </c:extLst>
        </c:ser>
        <c:ser>
          <c:idx val="1"/>
          <c:order val="1"/>
          <c:tx>
            <c:strRef>
              <c:f>Dashboard!$C$51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Dashboard!$A$52:$A$58</c:f>
              <c:strCache>
                <c:ptCount val="7"/>
                <c:pt idx="0">
                  <c:v>Global Triads (the strategic core)</c:v>
                </c:pt>
                <c:pt idx="1">
                  <c:v>Four Horsemen (growth engine)</c:v>
                </c:pt>
                <c:pt idx="2">
                  <c:v>Cash Cow (income Strategy, wheel/CSPs/CC/callOpts)</c:v>
                </c:pt>
                <c:pt idx="3">
                  <c:v>The Alpha (theme stocks)</c:v>
                </c:pt>
                <c:pt idx="4">
                  <c:v>The Omega (insurance, SPY and QQQ bear spreads)</c:v>
                </c:pt>
                <c:pt idx="5">
                  <c:v>The Vault (Gold)</c:v>
                </c:pt>
                <c:pt idx="6">
                  <c:v>The War Chest (Cash)</c:v>
                </c:pt>
              </c:strCache>
            </c:strRef>
          </c:cat>
          <c:val>
            <c:numRef>
              <c:f>Dashboard!$C$52:$C$58</c:f>
              <c:numCache>
                <c:formatCode>_("$"* #,##0_);_("$"* \(#,##0\);_("$"* "-"??_);_(@_)</c:formatCode>
                <c:ptCount val="7"/>
                <c:pt idx="0">
                  <c:v>295003.50795</c:v>
                </c:pt>
                <c:pt idx="1">
                  <c:v>163928.95999999999</c:v>
                </c:pt>
                <c:pt idx="2">
                  <c:v>149223.32</c:v>
                </c:pt>
                <c:pt idx="3">
                  <c:v>14204.140000000005</c:v>
                </c:pt>
                <c:pt idx="4">
                  <c:v>12783.44</c:v>
                </c:pt>
                <c:pt idx="5">
                  <c:v>11690.70875</c:v>
                </c:pt>
                <c:pt idx="6">
                  <c:v>319922.71999999997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EB-B049-85E5-F5553A4B09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87657343"/>
        <c:axId val="687667199"/>
      </c:barChart>
      <c:catAx>
        <c:axId val="68765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67199"/>
        <c:crosses val="autoZero"/>
        <c:auto val="1"/>
        <c:lblAlgn val="ctr"/>
        <c:lblOffset val="100"/>
        <c:noMultiLvlLbl val="0"/>
      </c:catAx>
      <c:valAx>
        <c:axId val="687667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57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7CA-4240-A0C1-E5FBA5DBA144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57CA-4240-A0C1-E5FBA5DBA144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57CA-4240-A0C1-E5FBA5DBA144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57CA-4240-A0C1-E5FBA5DBA1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(Dashboard!$G$43,Dashboard!$G$45)</c:f>
              <c:strCache>
                <c:ptCount val="2"/>
                <c:pt idx="0">
                  <c:v>Invested</c:v>
                </c:pt>
                <c:pt idx="1">
                  <c:v>Cash</c:v>
                </c:pt>
              </c:strCache>
            </c:strRef>
          </c:cat>
          <c:val>
            <c:numRef>
              <c:f>(Dashboard!$H$43,Dashboard!$H$45)</c:f>
              <c:numCache>
                <c:formatCode>0.00%</c:formatCode>
                <c:ptCount val="2"/>
                <c:pt idx="0">
                  <c:v>0.6600869661654335</c:v>
                </c:pt>
                <c:pt idx="1">
                  <c:v>0.3399130338345665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CA-4240-A0C1-E5FBA5DBA144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Dashboard!$K$41</c:f>
              <c:strCache>
                <c:ptCount val="1"/>
                <c:pt idx="0">
                  <c:v>Total Value USD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7AB-6144-B7D4-D5E33E9380E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7AB-6144-B7D4-D5E33E9380E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7AB-6144-B7D4-D5E33E9380E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7AB-6144-B7D4-D5E33E9380E8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7AB-6144-B7D4-D5E33E9380E8}"/>
              </c:ext>
            </c:extLst>
          </c:dPt>
          <c:dLbls>
            <c:dLbl>
              <c:idx val="0"/>
              <c:layout>
                <c:manualLayout>
                  <c:x val="-0.21536521793716484"/>
                  <c:y val="-5.144192034124735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AB-6144-B7D4-D5E33E9380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Dashboard!$J$42:$J$46</c:f>
              <c:strCache>
                <c:ptCount val="5"/>
                <c:pt idx="0">
                  <c:v>USD</c:v>
                </c:pt>
                <c:pt idx="1">
                  <c:v>CHF</c:v>
                </c:pt>
                <c:pt idx="2">
                  <c:v>EUR</c:v>
                </c:pt>
                <c:pt idx="3">
                  <c:v>SGD</c:v>
                </c:pt>
                <c:pt idx="4">
                  <c:v>CNH</c:v>
                </c:pt>
              </c:strCache>
            </c:strRef>
          </c:cat>
          <c:val>
            <c:numRef>
              <c:f>Dashboard!$K$42:$K$46</c:f>
              <c:numCache>
                <c:formatCode>_("$"* #,##0_);_("$"* \(#,##0\);_("$"* "-"??_);_(@_)</c:formatCode>
                <c:ptCount val="5"/>
                <c:pt idx="0">
                  <c:v>365115.64</c:v>
                </c:pt>
                <c:pt idx="1">
                  <c:v>127769.98974999999</c:v>
                </c:pt>
                <c:pt idx="2">
                  <c:v>99402.54</c:v>
                </c:pt>
                <c:pt idx="3">
                  <c:v>70588.302949999998</c:v>
                </c:pt>
                <c:pt idx="4">
                  <c:v>18152.184000000001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B-6144-B7D4-D5E33E9380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146050</xdr:colOff>
      <xdr:row>24</xdr:row>
      <xdr:rowOff>101600</xdr:rowOff>
    </xdr:from>
    <xdr:to>
      <xdr:col>5</xdr:col>
      <xdr:colOff>1219200</xdr:colOff>
      <xdr:row>48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F781D2-B9A2-D72A-0057-2784E88FE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12700</xdr:colOff>
      <xdr:row>24</xdr:row>
      <xdr:rowOff>88900</xdr:rowOff>
    </xdr:from>
    <xdr:to>
      <xdr:col>9</xdr:col>
      <xdr:colOff>12700</xdr:colOff>
      <xdr:row>37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697EC8-4EFA-6C90-F231-0485031FE2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254000</xdr:colOff>
      <xdr:row>24</xdr:row>
      <xdr:rowOff>88900</xdr:rowOff>
    </xdr:from>
    <xdr:to>
      <xdr:col>12</xdr:col>
      <xdr:colOff>38100</xdr:colOff>
      <xdr:row>37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25DA06-7701-0962-2EB5-AF549B736A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ongkiatkoh/Developer/timeless-workspace/projects/fetch-ibkr-positions.xlsx" TargetMode="External"/><Relationship Id="rId1" Type="http://schemas.openxmlformats.org/officeDocument/2006/relationships/externalLinkPath" Target="fetch-ibkr-posi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sitionsHK"/>
      <sheetName val="PositionsAL"/>
      <sheetName val="Summary"/>
      <sheetName val="Metadata"/>
    </sheetNames>
    <sheetDataSet>
      <sheetData sheetId="0">
        <row r="1">
          <cell r="D1" t="str">
            <v>AssetClass</v>
          </cell>
          <cell r="F1" t="str">
            <v>Symbol</v>
          </cell>
          <cell r="T1" t="str">
            <v>Side</v>
          </cell>
          <cell r="V1" t="str">
            <v>PositionValueUSD</v>
          </cell>
        </row>
        <row r="2">
          <cell r="D2" t="str">
            <v>STK</v>
          </cell>
          <cell r="F2" t="str">
            <v>EQCH</v>
          </cell>
          <cell r="T2" t="str">
            <v>Long</v>
          </cell>
          <cell r="V2">
            <v>26620.23</v>
          </cell>
        </row>
        <row r="3">
          <cell r="D3" t="str">
            <v>STK</v>
          </cell>
          <cell r="F3" t="str">
            <v>WORLD</v>
          </cell>
          <cell r="T3" t="str">
            <v>Long</v>
          </cell>
          <cell r="V3">
            <v>20620.006874999999</v>
          </cell>
        </row>
        <row r="4">
          <cell r="D4" t="str">
            <v>STK</v>
          </cell>
          <cell r="F4" t="str">
            <v>XMME</v>
          </cell>
          <cell r="T4" t="str">
            <v>Long</v>
          </cell>
          <cell r="V4">
            <v>12303.125249999999</v>
          </cell>
        </row>
        <row r="5">
          <cell r="D5" t="str">
            <v>STK</v>
          </cell>
          <cell r="F5" t="str">
            <v>82846</v>
          </cell>
          <cell r="T5" t="str">
            <v>Long</v>
          </cell>
          <cell r="V5">
            <v>9076.0920000000006</v>
          </cell>
        </row>
        <row r="6">
          <cell r="D6" t="str">
            <v>STK</v>
          </cell>
          <cell r="F6" t="str">
            <v>CBUK</v>
          </cell>
          <cell r="T6" t="str">
            <v>Long</v>
          </cell>
          <cell r="V6">
            <v>21664.17</v>
          </cell>
        </row>
        <row r="7">
          <cell r="D7" t="str">
            <v>STK</v>
          </cell>
          <cell r="F7" t="str">
            <v>ES3</v>
          </cell>
          <cell r="T7" t="str">
            <v>Long</v>
          </cell>
          <cell r="V7">
            <v>19632.5314</v>
          </cell>
        </row>
        <row r="8">
          <cell r="D8" t="str">
            <v>STK</v>
          </cell>
          <cell r="F8" t="str">
            <v>GSD</v>
          </cell>
          <cell r="T8" t="str">
            <v>Long</v>
          </cell>
          <cell r="V8">
            <v>11690.70875</v>
          </cell>
        </row>
        <row r="9">
          <cell r="D9" t="str">
            <v>STK</v>
          </cell>
          <cell r="F9" t="str">
            <v>BITO</v>
          </cell>
          <cell r="T9" t="str">
            <v>Long</v>
          </cell>
          <cell r="V9">
            <v>1160</v>
          </cell>
        </row>
        <row r="10">
          <cell r="D10" t="str">
            <v>STK</v>
          </cell>
          <cell r="F10" t="str">
            <v>CELH</v>
          </cell>
          <cell r="T10" t="str">
            <v>Long</v>
          </cell>
          <cell r="V10">
            <v>2624</v>
          </cell>
        </row>
        <row r="11">
          <cell r="D11" t="str">
            <v>STK</v>
          </cell>
          <cell r="F11" t="str">
            <v>CHA</v>
          </cell>
          <cell r="T11" t="str">
            <v>Long</v>
          </cell>
          <cell r="V11">
            <v>1172</v>
          </cell>
        </row>
        <row r="12">
          <cell r="D12" t="str">
            <v>STK</v>
          </cell>
          <cell r="F12" t="str">
            <v>CSNDX</v>
          </cell>
          <cell r="T12" t="str">
            <v>Long</v>
          </cell>
          <cell r="V12">
            <v>22122</v>
          </cell>
        </row>
        <row r="13">
          <cell r="D13" t="str">
            <v>STK</v>
          </cell>
          <cell r="F13" t="str">
            <v>GOOGL</v>
          </cell>
          <cell r="T13" t="str">
            <v>Long</v>
          </cell>
          <cell r="V13">
            <v>33800</v>
          </cell>
        </row>
        <row r="14">
          <cell r="D14" t="str">
            <v>STK</v>
          </cell>
          <cell r="F14" t="str">
            <v>HEAL</v>
          </cell>
          <cell r="T14" t="str">
            <v>Long</v>
          </cell>
          <cell r="V14">
            <v>9292.5</v>
          </cell>
        </row>
        <row r="15">
          <cell r="D15" t="str">
            <v>STK</v>
          </cell>
          <cell r="F15" t="str">
            <v>INRA</v>
          </cell>
          <cell r="T15" t="str">
            <v>Long</v>
          </cell>
          <cell r="V15">
            <v>10418.75</v>
          </cell>
        </row>
        <row r="16">
          <cell r="D16" t="str">
            <v>STK</v>
          </cell>
          <cell r="F16" t="str">
            <v>LKNCY</v>
          </cell>
          <cell r="T16" t="str">
            <v>Long</v>
          </cell>
          <cell r="V16">
            <v>3337</v>
          </cell>
        </row>
        <row r="17">
          <cell r="D17" t="str">
            <v>STK</v>
          </cell>
          <cell r="F17" t="str">
            <v>LOCK</v>
          </cell>
          <cell r="T17" t="str">
            <v>Long</v>
          </cell>
          <cell r="V17">
            <v>9824</v>
          </cell>
        </row>
        <row r="18">
          <cell r="D18" t="str">
            <v>STK</v>
          </cell>
          <cell r="F18" t="str">
            <v>NVDA</v>
          </cell>
          <cell r="T18" t="str">
            <v>Long</v>
          </cell>
          <cell r="V18">
            <v>38226</v>
          </cell>
        </row>
        <row r="19">
          <cell r="D19" t="str">
            <v>STK</v>
          </cell>
          <cell r="F19" t="str">
            <v>ORCL</v>
          </cell>
          <cell r="T19" t="str">
            <v>Long</v>
          </cell>
          <cell r="V19">
            <v>16458</v>
          </cell>
        </row>
        <row r="20">
          <cell r="D20" t="str">
            <v>STK</v>
          </cell>
          <cell r="F20" t="str">
            <v>SE</v>
          </cell>
          <cell r="T20" t="str">
            <v>Long</v>
          </cell>
          <cell r="V20">
            <v>2329.8000000000002</v>
          </cell>
        </row>
        <row r="21">
          <cell r="D21" t="str">
            <v>STK</v>
          </cell>
          <cell r="F21" t="str">
            <v>VWRA</v>
          </cell>
          <cell r="T21" t="str">
            <v>Long</v>
          </cell>
          <cell r="V21">
            <v>34940</v>
          </cell>
        </row>
        <row r="22">
          <cell r="D22" t="str">
            <v>OPT</v>
          </cell>
          <cell r="F22" t="str">
            <v>QQQ   261218P00560000</v>
          </cell>
          <cell r="T22" t="str">
            <v>Long</v>
          </cell>
          <cell r="V22">
            <v>5162.9399999999996</v>
          </cell>
        </row>
        <row r="23">
          <cell r="D23" t="str">
            <v>OPT</v>
          </cell>
          <cell r="F23" t="str">
            <v>SPY   261218P00620000</v>
          </cell>
          <cell r="T23" t="str">
            <v>Long</v>
          </cell>
          <cell r="V23">
            <v>4235.1400000000003</v>
          </cell>
        </row>
        <row r="24">
          <cell r="D24" t="str">
            <v>FOP</v>
          </cell>
          <cell r="F24" t="str">
            <v>EW2G6 P6525</v>
          </cell>
          <cell r="T24" t="str">
            <v>Long</v>
          </cell>
          <cell r="V24">
            <v>875</v>
          </cell>
        </row>
        <row r="25">
          <cell r="D25" t="str">
            <v>FOP</v>
          </cell>
          <cell r="F25" t="str">
            <v>EW2G6 C7300</v>
          </cell>
          <cell r="T25" t="str">
            <v>Long</v>
          </cell>
          <cell r="V25">
            <v>25</v>
          </cell>
        </row>
        <row r="26">
          <cell r="D26" t="str">
            <v>OPT</v>
          </cell>
          <cell r="F26" t="str">
            <v>GOOGL 260227P00310000</v>
          </cell>
          <cell r="T26" t="str">
            <v>Short</v>
          </cell>
          <cell r="V26">
            <v>-420.01</v>
          </cell>
        </row>
        <row r="27">
          <cell r="D27" t="str">
            <v>OPT</v>
          </cell>
          <cell r="F27" t="str">
            <v>GOOGL 260227C00370000</v>
          </cell>
          <cell r="T27" t="str">
            <v>Short</v>
          </cell>
          <cell r="V27">
            <v>-422.62</v>
          </cell>
        </row>
        <row r="28">
          <cell r="D28" t="str">
            <v>OPT</v>
          </cell>
          <cell r="F28" t="str">
            <v>ORCL  260213C00175000</v>
          </cell>
          <cell r="T28" t="str">
            <v>Short</v>
          </cell>
          <cell r="V28">
            <v>-330</v>
          </cell>
        </row>
        <row r="29">
          <cell r="D29" t="str">
            <v>OPT</v>
          </cell>
          <cell r="F29" t="str">
            <v>ORCL  260220C00200000</v>
          </cell>
          <cell r="T29" t="str">
            <v>Short</v>
          </cell>
          <cell r="V29">
            <v>-74.5</v>
          </cell>
        </row>
        <row r="30">
          <cell r="D30" t="str">
            <v>OPT</v>
          </cell>
          <cell r="F30" t="str">
            <v>QQQ   261218P00425000</v>
          </cell>
          <cell r="T30" t="str">
            <v>Short</v>
          </cell>
          <cell r="V30">
            <v>-1433.36</v>
          </cell>
        </row>
        <row r="31">
          <cell r="D31" t="str">
            <v>OPT</v>
          </cell>
          <cell r="F31" t="str">
            <v>SPY   261218P00505000</v>
          </cell>
          <cell r="T31" t="str">
            <v>Short</v>
          </cell>
          <cell r="V31">
            <v>-1573</v>
          </cell>
        </row>
        <row r="32">
          <cell r="D32" t="str">
            <v>FOP</v>
          </cell>
          <cell r="F32" t="str">
            <v>EW2G6 P6625</v>
          </cell>
          <cell r="T32" t="str">
            <v>Short</v>
          </cell>
          <cell r="V32">
            <v>-1350</v>
          </cell>
        </row>
        <row r="33">
          <cell r="D33" t="str">
            <v>FOP</v>
          </cell>
          <cell r="F33" t="str">
            <v>EW2G6 C7200</v>
          </cell>
          <cell r="T33" t="str">
            <v>Short</v>
          </cell>
          <cell r="V33">
            <v>-215</v>
          </cell>
        </row>
      </sheetData>
      <sheetData sheetId="1">
        <row r="1">
          <cell r="D1" t="str">
            <v>AssetClass</v>
          </cell>
          <cell r="F1" t="str">
            <v>Symbol</v>
          </cell>
          <cell r="V1" t="str">
            <v>PositionValueUSD</v>
          </cell>
        </row>
        <row r="2">
          <cell r="D2" t="str">
            <v>STK</v>
          </cell>
          <cell r="F2" t="str">
            <v>EQCH</v>
          </cell>
          <cell r="V2">
            <v>26620.23</v>
          </cell>
        </row>
        <row r="3">
          <cell r="D3" t="str">
            <v>STK</v>
          </cell>
          <cell r="F3" t="str">
            <v>WORLD</v>
          </cell>
          <cell r="V3">
            <v>25202.230625</v>
          </cell>
        </row>
        <row r="4">
          <cell r="D4" t="str">
            <v>STK</v>
          </cell>
          <cell r="F4" t="str">
            <v>XMME</v>
          </cell>
          <cell r="V4">
            <v>16404.167000000001</v>
          </cell>
        </row>
        <row r="5">
          <cell r="D5" t="str">
            <v>STK</v>
          </cell>
          <cell r="F5" t="str">
            <v>82846</v>
          </cell>
          <cell r="V5">
            <v>9076.0920000000006</v>
          </cell>
        </row>
        <row r="6">
          <cell r="D6" t="str">
            <v>STK</v>
          </cell>
          <cell r="F6" t="str">
            <v>CBUK</v>
          </cell>
          <cell r="V6">
            <v>21664.17</v>
          </cell>
        </row>
        <row r="7">
          <cell r="D7" t="str">
            <v>STK</v>
          </cell>
          <cell r="F7" t="str">
            <v>DHL</v>
          </cell>
          <cell r="V7">
            <v>56074.2</v>
          </cell>
        </row>
        <row r="8">
          <cell r="D8" t="str">
            <v>STK</v>
          </cell>
          <cell r="F8" t="str">
            <v>ES3</v>
          </cell>
          <cell r="V8">
            <v>39265.0628</v>
          </cell>
        </row>
        <row r="9">
          <cell r="D9" t="str">
            <v>STK</v>
          </cell>
          <cell r="F9" t="str">
            <v>BITO</v>
          </cell>
          <cell r="V9">
            <v>2320</v>
          </cell>
        </row>
        <row r="10">
          <cell r="D10" t="str">
            <v>STK</v>
          </cell>
          <cell r="F10" t="str">
            <v>CSNDX</v>
          </cell>
          <cell r="V10">
            <v>29496</v>
          </cell>
        </row>
        <row r="11">
          <cell r="D11" t="str">
            <v>STK</v>
          </cell>
          <cell r="F11" t="str">
            <v>GOOGL</v>
          </cell>
          <cell r="V11">
            <v>33800</v>
          </cell>
        </row>
        <row r="12">
          <cell r="D12" t="str">
            <v>STK</v>
          </cell>
          <cell r="F12" t="str">
            <v>HEAL</v>
          </cell>
          <cell r="V12">
            <v>9292.5</v>
          </cell>
        </row>
        <row r="13">
          <cell r="D13" t="str">
            <v>STK</v>
          </cell>
          <cell r="F13" t="str">
            <v>IBKR</v>
          </cell>
          <cell r="V13">
            <v>1261.3399999999999</v>
          </cell>
        </row>
        <row r="14">
          <cell r="D14" t="str">
            <v>STK</v>
          </cell>
          <cell r="F14" t="str">
            <v>INRA</v>
          </cell>
          <cell r="V14">
            <v>10418.75</v>
          </cell>
        </row>
        <row r="15">
          <cell r="D15" t="str">
            <v>STK</v>
          </cell>
          <cell r="F15" t="str">
            <v>JPM</v>
          </cell>
          <cell r="V15">
            <v>30589</v>
          </cell>
        </row>
        <row r="16">
          <cell r="D16" t="str">
            <v>STK</v>
          </cell>
          <cell r="F16" t="str">
            <v>LOCK</v>
          </cell>
          <cell r="V16">
            <v>9824</v>
          </cell>
        </row>
        <row r="17">
          <cell r="D17" t="str">
            <v>STK</v>
          </cell>
          <cell r="F17" t="str">
            <v>VWRA</v>
          </cell>
          <cell r="V17">
            <v>52410</v>
          </cell>
        </row>
        <row r="18">
          <cell r="D18" t="str">
            <v>OPT</v>
          </cell>
          <cell r="F18" t="str">
            <v>QQQ   261218P00560000</v>
          </cell>
          <cell r="V18">
            <v>5162.9399999999996</v>
          </cell>
        </row>
        <row r="19">
          <cell r="D19" t="str">
            <v>OPT</v>
          </cell>
          <cell r="F19" t="str">
            <v>SPY   261218P00620000</v>
          </cell>
          <cell r="V19">
            <v>4235.1400000000003</v>
          </cell>
        </row>
        <row r="20">
          <cell r="D20" t="str">
            <v>OPT</v>
          </cell>
          <cell r="F20" t="str">
            <v>GOOGL 260206C00335000</v>
          </cell>
          <cell r="V20">
            <v>-1210.73</v>
          </cell>
        </row>
        <row r="21">
          <cell r="D21" t="str">
            <v>OPT</v>
          </cell>
          <cell r="F21" t="str">
            <v>GOOGL 260220P00315000</v>
          </cell>
          <cell r="V21">
            <v>-448.82</v>
          </cell>
        </row>
        <row r="22">
          <cell r="D22" t="str">
            <v>OPT</v>
          </cell>
          <cell r="F22" t="str">
            <v>JPM   260206C00315000</v>
          </cell>
          <cell r="V22">
            <v>-78</v>
          </cell>
        </row>
        <row r="23">
          <cell r="D23" t="str">
            <v>OPT</v>
          </cell>
          <cell r="F23" t="str">
            <v>QQQ   261218P00425000</v>
          </cell>
          <cell r="V23">
            <v>-1433.36</v>
          </cell>
        </row>
        <row r="24">
          <cell r="D24" t="str">
            <v>OPT</v>
          </cell>
          <cell r="F24" t="str">
            <v>SPY   261218P00505000</v>
          </cell>
          <cell r="V24">
            <v>-1573</v>
          </cell>
        </row>
      </sheetData>
      <sheetData sheetId="2">
        <row r="2">
          <cell r="C2" t="str">
            <v>$138,115.20</v>
          </cell>
        </row>
        <row r="3">
          <cell r="C3" t="str">
            <v>$181,807.52</v>
          </cell>
        </row>
      </sheetData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sitionsHK"/>
    </sheetNames>
    <sheetDataSet>
      <sheetData sheetId="0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197A906-D222-4646-85E1-94A327E8C6E2}" autoFormatId="16" applyNumberFormats="0" applyBorderFormats="0" applyFontFormats="0" applyPatternFormats="0" applyAlignmentFormats="0" applyWidthHeightFormats="0">
  <queryTableRefresh nextId="3">
    <queryTableFields count="2">
      <queryTableField id="1" name="CurrencyPrimary" tableColumnId="1"/>
      <queryTableField id="2" name="Total Value USD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6ABF8-99C7-D448-B31B-76226AD3E31D}" name="Query__2" displayName="Query__2" ref="J41:K46" tableType="queryTable" totalsRowShown="0">
  <autoFilter ref="J41:K46" xr:uid="{D0B6ABF8-99C7-D448-B31B-76226AD3E31D}"/>
  <tableColumns count="2">
    <tableColumn id="1" xr3:uid="{7DA33D05-B373-C040-923A-8735B8E52F38}" uniqueName="1" name="CurrencyPrimary" queryTableFieldId="1"/>
    <tableColumn id="2" xr3:uid="{6E5A9362-71B1-D549-A253-709ADB40623F}" uniqueName="2" name="Total Value USD" queryTableFieldId="2" dataDxfId="32" dataCellStyle="Currenc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8"/>
  <sheetViews>
    <sheetView showGridLines="0" tabSelected="1" zoomScale="120" zoomScaleNormal="120" workbookViewId="0">
      <selection activeCell="I7" sqref="I7"/>
    </sheetView>
  </sheetViews>
  <sheetFormatPr baseColWidth="10" defaultColWidth="38.6640625" defaultRowHeight="16" x14ac:dyDescent="0.2"/>
  <cols>
    <col min="1" max="1" width="62.1640625" style="1" bestFit="1" customWidth="1"/>
    <col min="2" max="2" width="10.5" style="1" bestFit="1" customWidth="1"/>
    <col min="3" max="3" width="10.6640625" style="1" bestFit="1" customWidth="1"/>
    <col min="4" max="6" width="17.6640625" style="1" customWidth="1"/>
    <col min="7" max="7" width="12.83203125" style="1" customWidth="1"/>
    <col min="8" max="9" width="17.6640625" style="1" customWidth="1"/>
    <col min="10" max="10" width="16.5" style="1" bestFit="1" customWidth="1"/>
    <col min="11" max="11" width="17.6640625" style="1" customWidth="1"/>
    <col min="12" max="12" width="12.83203125" style="1" customWidth="1"/>
    <col min="13" max="13" width="153.83203125" style="1" bestFit="1" customWidth="1"/>
    <col min="14" max="14" width="38.6640625" style="1" customWidth="1"/>
    <col min="15" max="16384" width="38.6640625" style="1"/>
  </cols>
  <sheetData>
    <row r="1" spans="1:13" x14ac:dyDescent="0.2">
      <c r="A1" s="41"/>
      <c r="E1" s="26" t="s">
        <v>0</v>
      </c>
      <c r="G1" s="34"/>
      <c r="H1" s="26" t="s">
        <v>1</v>
      </c>
      <c r="J1" s="34"/>
      <c r="K1" s="45"/>
      <c r="L1" s="34"/>
    </row>
    <row r="2" spans="1:13" x14ac:dyDescent="0.2">
      <c r="A2" s="41" t="s">
        <v>2</v>
      </c>
      <c r="C2" s="9">
        <v>1</v>
      </c>
      <c r="E2" s="27">
        <f>F4+F11+F19+F22+F23+F20-F21</f>
        <v>415458.09427500004</v>
      </c>
      <c r="F2" s="28"/>
      <c r="G2" s="35"/>
      <c r="H2" s="27">
        <f>I4+I11+I19+I22+I23+I20-I21</f>
        <v>525731.82242500002</v>
      </c>
      <c r="I2" s="28"/>
      <c r="J2" s="35"/>
      <c r="K2" s="45"/>
      <c r="L2" s="34"/>
    </row>
    <row r="3" spans="1:13" x14ac:dyDescent="0.2">
      <c r="A3" s="42" t="s">
        <v>3</v>
      </c>
      <c r="B3" s="50" t="s">
        <v>132</v>
      </c>
      <c r="C3" s="15" t="s">
        <v>4</v>
      </c>
      <c r="D3" s="15" t="s">
        <v>5</v>
      </c>
      <c r="E3" s="29" t="s">
        <v>5</v>
      </c>
      <c r="F3" s="15" t="s">
        <v>127</v>
      </c>
      <c r="G3" s="36" t="s">
        <v>131</v>
      </c>
      <c r="H3" s="29" t="s">
        <v>5</v>
      </c>
      <c r="I3" s="15" t="s">
        <v>127</v>
      </c>
      <c r="J3" s="36" t="s">
        <v>7</v>
      </c>
      <c r="K3" s="29" t="s">
        <v>6</v>
      </c>
      <c r="L3" s="36" t="s">
        <v>7</v>
      </c>
      <c r="M3" s="10" t="s">
        <v>8</v>
      </c>
    </row>
    <row r="4" spans="1:13" ht="17" x14ac:dyDescent="0.2">
      <c r="A4" s="43" t="s">
        <v>140</v>
      </c>
      <c r="B4" s="51"/>
      <c r="C4" s="52">
        <v>0.3</v>
      </c>
      <c r="D4" s="23">
        <f>$G$42*C4</f>
        <v>282356.97500999999</v>
      </c>
      <c r="E4" s="30">
        <f>$E$2*C4</f>
        <v>124637.42828250001</v>
      </c>
      <c r="F4" s="23" cm="1">
        <f t="array" ref="F4">SUMPRODUCT(SUMIFS([1]PositionsHK!V:V,[1]PositionsHK!F:F,GlobalETF!A:A))</f>
        <v>96571.755525</v>
      </c>
      <c r="G4" s="37">
        <f>F4/E4</f>
        <v>0.77482147101200549</v>
      </c>
      <c r="H4" s="30">
        <f>$H$2*C4</f>
        <v>157719.54672750001</v>
      </c>
      <c r="I4" s="23" cm="1">
        <f t="array" ref="I4">SUMPRODUCT(SUMIFS([1]PositionsAL!V:V,[1]PositionsAL!F:F,GlobalETF!A:A))</f>
        <v>198431.75242500001</v>
      </c>
      <c r="J4" s="37">
        <f>I4/H4</f>
        <v>1.2581303747203922</v>
      </c>
      <c r="K4" s="46">
        <f t="shared" ref="K4:K23" si="0">F4+I4</f>
        <v>295003.50795</v>
      </c>
      <c r="L4" s="37">
        <f t="shared" ref="L4:L23" si="1">K4/D4</f>
        <v>1.0447891642823843</v>
      </c>
      <c r="M4" s="14" t="s">
        <v>122</v>
      </c>
    </row>
    <row r="5" spans="1:13" x14ac:dyDescent="0.2">
      <c r="A5" s="44" t="s">
        <v>123</v>
      </c>
      <c r="B5" s="51" t="s">
        <v>12</v>
      </c>
      <c r="C5" s="53">
        <v>0.1</v>
      </c>
      <c r="D5" s="24">
        <f>$D$4*C5</f>
        <v>28235.697501000002</v>
      </c>
      <c r="E5" s="31">
        <f>$E$4*C5</f>
        <v>12463.742828250002</v>
      </c>
      <c r="F5" s="24">
        <f>SUMIFS([1]PositionsHK!V:V,[1]PositionsHK!F:F,"82846")</f>
        <v>9076.0920000000006</v>
      </c>
      <c r="G5" s="38">
        <f>F5/E5</f>
        <v>0.72819955651109569</v>
      </c>
      <c r="H5" s="31">
        <f>$H$4*C5</f>
        <v>15771.954672750002</v>
      </c>
      <c r="I5" s="24">
        <f>SUMIFS([1]PositionsAL!V:V,[1]PositionsAL!F:F,"82846")</f>
        <v>9076.0920000000006</v>
      </c>
      <c r="J5" s="38">
        <f>I5/H5</f>
        <v>0.57545765178245289</v>
      </c>
      <c r="K5" s="47">
        <f t="shared" ref="K5:K7" si="2">F5+I5</f>
        <v>18152.184000000001</v>
      </c>
      <c r="L5" s="38">
        <f t="shared" ref="L5:L7" si="3">K5/D5</f>
        <v>0.64288066548939049</v>
      </c>
      <c r="M5" s="11"/>
    </row>
    <row r="6" spans="1:13" x14ac:dyDescent="0.2">
      <c r="A6" s="44" t="s">
        <v>124</v>
      </c>
      <c r="B6" s="51" t="s">
        <v>14</v>
      </c>
      <c r="C6" s="53">
        <v>0.2</v>
      </c>
      <c r="D6" s="24">
        <f t="shared" ref="D6:D10" si="4">$D$4*C6</f>
        <v>56471.395002000005</v>
      </c>
      <c r="E6" s="31">
        <f t="shared" ref="E6:E10" si="5">$E$4*C6</f>
        <v>24927.485656500005</v>
      </c>
      <c r="F6" s="24">
        <f>SUMIFS([1]PositionsHK!V:V,[1]PositionsHK!F:F,"DHL")</f>
        <v>0</v>
      </c>
      <c r="G6" s="38">
        <f t="shared" ref="G6:G7" si="6">F6/E6</f>
        <v>0</v>
      </c>
      <c r="H6" s="31">
        <f t="shared" ref="H6:H10" si="7">$H$4*C6</f>
        <v>31543.909345500004</v>
      </c>
      <c r="I6" s="24">
        <f>SUMIFS([1]PositionsAL!V:V,[1]PositionsAL!F:F,"DHL")</f>
        <v>56074.2</v>
      </c>
      <c r="J6" s="38">
        <f t="shared" ref="J6:J7" si="8">I6/H6</f>
        <v>1.7776553751096624</v>
      </c>
      <c r="K6" s="47">
        <f t="shared" si="2"/>
        <v>56074.2</v>
      </c>
      <c r="L6" s="38">
        <f t="shared" si="3"/>
        <v>0.9929664389911752</v>
      </c>
      <c r="M6" s="11"/>
    </row>
    <row r="7" spans="1:13" x14ac:dyDescent="0.2">
      <c r="A7" s="44" t="s">
        <v>125</v>
      </c>
      <c r="B7" s="51" t="s">
        <v>16</v>
      </c>
      <c r="C7" s="53">
        <v>0.2</v>
      </c>
      <c r="D7" s="24">
        <f t="shared" si="4"/>
        <v>56471.395002000005</v>
      </c>
      <c r="E7" s="31">
        <f t="shared" si="5"/>
        <v>24927.485656500005</v>
      </c>
      <c r="F7" s="24">
        <f>SUMIFS([1]PositionsHK!V:V,[1]PositionsHK!F:F,"ES3")</f>
        <v>19632.5314</v>
      </c>
      <c r="G7" s="38">
        <f t="shared" si="6"/>
        <v>0.78758570641803538</v>
      </c>
      <c r="H7" s="31">
        <f t="shared" si="7"/>
        <v>31543.909345500004</v>
      </c>
      <c r="I7" s="24">
        <f>SUMIFS([1]PositionsAL!V:V,[1]PositionsAL!F:F,"ES3")</f>
        <v>39265.0628</v>
      </c>
      <c r="J7" s="38">
        <f t="shared" si="8"/>
        <v>1.2447747794964255</v>
      </c>
      <c r="K7" s="47">
        <f t="shared" si="2"/>
        <v>58897.5942</v>
      </c>
      <c r="L7" s="38">
        <f t="shared" si="3"/>
        <v>1.0429633303358996</v>
      </c>
      <c r="M7" s="11"/>
    </row>
    <row r="8" spans="1:13" x14ac:dyDescent="0.2">
      <c r="A8" s="44" t="s">
        <v>126</v>
      </c>
      <c r="B8" s="51" t="s">
        <v>18</v>
      </c>
      <c r="C8" s="53">
        <v>0.25</v>
      </c>
      <c r="D8" s="24">
        <f t="shared" si="4"/>
        <v>70589.243752499999</v>
      </c>
      <c r="E8" s="31">
        <f t="shared" si="5"/>
        <v>31159.357070625003</v>
      </c>
      <c r="F8" s="24">
        <f>SUMIFS([1]PositionsHK!V:V,[1]PositionsHK!F:F,"VWRA")</f>
        <v>34940</v>
      </c>
      <c r="G8" s="38">
        <f>F8/E8</f>
        <v>1.1213325076254266</v>
      </c>
      <c r="H8" s="31">
        <f t="shared" si="7"/>
        <v>39429.886681875003</v>
      </c>
      <c r="I8" s="24">
        <f>SUMIFS([1]PositionsAL!V:V,[1]PositionsAL!F:F,"VWRA")</f>
        <v>52410</v>
      </c>
      <c r="J8" s="38">
        <f>I8/H8</f>
        <v>1.329194791322889</v>
      </c>
      <c r="K8" s="47">
        <f>F8+I8</f>
        <v>87350</v>
      </c>
      <c r="L8" s="38">
        <f>K8/D8</f>
        <v>1.2374406546451548</v>
      </c>
      <c r="M8" s="11"/>
    </row>
    <row r="9" spans="1:13" x14ac:dyDescent="0.2">
      <c r="A9" s="44" t="s">
        <v>133</v>
      </c>
      <c r="B9" s="51" t="s">
        <v>135</v>
      </c>
      <c r="C9" s="53">
        <v>0.15</v>
      </c>
      <c r="D9" s="24">
        <f t="shared" ref="D9" si="9">$D$4*C9</f>
        <v>42353.546251499996</v>
      </c>
      <c r="E9" s="31">
        <f t="shared" ref="E9" si="10">$E$4*C9</f>
        <v>18695.614242375003</v>
      </c>
      <c r="F9" s="24">
        <f>SUMIFS([1]PositionsHK!V:V,[1]PositionsHK!F:F,"WORLD")</f>
        <v>20620.006874999999</v>
      </c>
      <c r="G9" s="38">
        <f>F9/E9</f>
        <v>1.1029328380269645</v>
      </c>
      <c r="H9" s="31">
        <f t="shared" ref="H9" si="11">$H$4*C9</f>
        <v>23657.932009125001</v>
      </c>
      <c r="I9" s="24">
        <f>SUMIFS([1]PositionsAL!V:V,[1]PositionsAL!F:F,"WORLD")</f>
        <v>25202.230625</v>
      </c>
      <c r="J9" s="38">
        <f>I9/H9</f>
        <v>1.0652761456613939</v>
      </c>
      <c r="K9" s="47">
        <f>F9+I9</f>
        <v>45822.237500000003</v>
      </c>
      <c r="L9" s="38">
        <f>K9/D9</f>
        <v>1.0818984844362864</v>
      </c>
      <c r="M9" s="11"/>
    </row>
    <row r="10" spans="1:13" x14ac:dyDescent="0.2">
      <c r="A10" s="44" t="s">
        <v>134</v>
      </c>
      <c r="B10" s="51" t="s">
        <v>135</v>
      </c>
      <c r="C10" s="53">
        <v>0.1</v>
      </c>
      <c r="D10" s="24">
        <f t="shared" si="4"/>
        <v>28235.697501000002</v>
      </c>
      <c r="E10" s="31">
        <f t="shared" si="5"/>
        <v>12463.742828250002</v>
      </c>
      <c r="F10" s="24">
        <f>SUMIFS([1]PositionsHK!V:V,[1]PositionsHK!F:F,"XMME")</f>
        <v>12303.125249999999</v>
      </c>
      <c r="G10" s="38">
        <f>F10/E10</f>
        <v>0.98711321466887525</v>
      </c>
      <c r="H10" s="31">
        <f t="shared" si="7"/>
        <v>15771.954672750002</v>
      </c>
      <c r="I10" s="24">
        <f>SUMIFS([1]PositionsAL!V:V,[1]PositionsAL!F:F,"XMME")</f>
        <v>16404.167000000001</v>
      </c>
      <c r="J10" s="38">
        <f>I10/H10</f>
        <v>1.0400845894099799</v>
      </c>
      <c r="K10" s="47">
        <f>F10+I10</f>
        <v>28707.292249999999</v>
      </c>
      <c r="L10" s="38">
        <f>K10/D10</f>
        <v>1.0167020754129872</v>
      </c>
      <c r="M10" s="11"/>
    </row>
    <row r="11" spans="1:13" x14ac:dyDescent="0.2">
      <c r="A11" s="43" t="s">
        <v>141</v>
      </c>
      <c r="B11" s="51"/>
      <c r="C11" s="52">
        <v>0.3</v>
      </c>
      <c r="D11" s="23">
        <f>$G$42*C11</f>
        <v>282356.97500999999</v>
      </c>
      <c r="E11" s="30">
        <f>$E$2*C11</f>
        <v>124637.42828250001</v>
      </c>
      <c r="F11" s="23">
        <f>F12+F13+F15+F18+F16</f>
        <v>78277.48</v>
      </c>
      <c r="G11" s="37">
        <f>F11/E11</f>
        <v>0.62804152074269581</v>
      </c>
      <c r="H11" s="30">
        <f>$H$2*C11</f>
        <v>157719.54672750001</v>
      </c>
      <c r="I11" s="23">
        <f>I12+I13+I15+I18+I16</f>
        <v>85651.48</v>
      </c>
      <c r="J11" s="37">
        <f>I11/H11</f>
        <v>0.54306192084094917</v>
      </c>
      <c r="K11" s="46">
        <f>F11+I11</f>
        <v>163928.95999999999</v>
      </c>
      <c r="L11" s="38">
        <f>K11/D11</f>
        <v>0.58057343897452596</v>
      </c>
    </row>
    <row r="12" spans="1:13" x14ac:dyDescent="0.2">
      <c r="A12" s="44" t="s">
        <v>136</v>
      </c>
      <c r="B12" s="51" t="s">
        <v>18</v>
      </c>
      <c r="C12" s="53">
        <v>0.25</v>
      </c>
      <c r="D12" s="24">
        <f t="shared" ref="D12:D18" si="12">$D$11*C12</f>
        <v>70589.243752499999</v>
      </c>
      <c r="E12" s="31">
        <f t="shared" ref="E12:E18" si="13">$E$11*C12</f>
        <v>31159.357070625003</v>
      </c>
      <c r="F12" s="24">
        <f>SUMIFS([1]PositionsHK!V:V,[1]PositionsHK!F:F,"CSNDX")</f>
        <v>22122</v>
      </c>
      <c r="G12" s="38">
        <f>F12/E12</f>
        <v>0.70996330090697446</v>
      </c>
      <c r="H12" s="31">
        <f t="shared" ref="H12:H18" si="14">$H$11*C12</f>
        <v>39429.886681875003</v>
      </c>
      <c r="I12" s="24">
        <f>SUMIFS([1]PositionsAL!V:V,[1]PositionsAL!F:F,"CSNDX")</f>
        <v>29496</v>
      </c>
      <c r="J12" s="38">
        <f>I12/H12</f>
        <v>0.74806200276397505</v>
      </c>
      <c r="K12" s="47">
        <f t="shared" si="0"/>
        <v>51618</v>
      </c>
      <c r="L12" s="38">
        <f t="shared" si="1"/>
        <v>0.73124455307926273</v>
      </c>
      <c r="M12" s="11"/>
    </row>
    <row r="13" spans="1:13" x14ac:dyDescent="0.2">
      <c r="A13" s="44" t="s">
        <v>137</v>
      </c>
      <c r="B13" s="51" t="s">
        <v>135</v>
      </c>
      <c r="C13" s="53">
        <v>0.25</v>
      </c>
      <c r="D13" s="24">
        <f t="shared" si="12"/>
        <v>70589.243752499999</v>
      </c>
      <c r="E13" s="31">
        <f t="shared" si="13"/>
        <v>31159.357070625003</v>
      </c>
      <c r="F13" s="24">
        <f>SUMIFS([1]PositionsHK!V:V,[1]PositionsHK!F:F,"EQCH")</f>
        <v>26620.23</v>
      </c>
      <c r="G13" s="38">
        <f t="shared" ref="G13:G18" si="15">F13/E13</f>
        <v>0.85432539380267913</v>
      </c>
      <c r="H13" s="31">
        <f t="shared" si="14"/>
        <v>39429.886681875003</v>
      </c>
      <c r="I13" s="24">
        <f>SUMIFS([1]PositionsAL!V:V,[1]PositionsAL!F:F,"EQCH")</f>
        <v>26620.23</v>
      </c>
      <c r="J13" s="38">
        <f t="shared" ref="J13:J18" si="16">I13/H13</f>
        <v>0.67512824002704264</v>
      </c>
      <c r="K13" s="47">
        <f t="shared" si="0"/>
        <v>53240.46</v>
      </c>
      <c r="L13" s="38">
        <f t="shared" si="1"/>
        <v>0.75422907471103806</v>
      </c>
      <c r="M13" s="11"/>
    </row>
    <row r="14" spans="1:13" x14ac:dyDescent="0.2">
      <c r="A14" s="44" t="s">
        <v>139</v>
      </c>
      <c r="B14" s="51" t="s">
        <v>135</v>
      </c>
      <c r="C14" s="53">
        <v>0.2</v>
      </c>
      <c r="D14" s="24">
        <f t="shared" si="12"/>
        <v>56471.395002000005</v>
      </c>
      <c r="E14" s="31">
        <f t="shared" ref="E14" si="17">$E$11*C14</f>
        <v>24927.485656500005</v>
      </c>
      <c r="F14" s="24">
        <f>SUMIFS([1]PositionsHK!V:V,[1]PositionsHK!F:F,"CBUK")</f>
        <v>21664.17</v>
      </c>
      <c r="G14" s="38">
        <f t="shared" ref="G14" si="18">F14/E14</f>
        <v>0.86908765282353795</v>
      </c>
      <c r="H14" s="31">
        <f t="shared" ref="H14" si="19">$H$11*C14</f>
        <v>31543.909345500004</v>
      </c>
      <c r="I14" s="24">
        <f>SUMIFS([1]PositionsAL!V:V,[1]PositionsAL!F:F,"CBUK")</f>
        <v>21664.17</v>
      </c>
      <c r="J14" s="38">
        <f t="shared" ref="J14" si="20">I14/H14</f>
        <v>0.68679407370572376</v>
      </c>
      <c r="K14" s="47">
        <f t="shared" ref="K14" si="21">F14+I14</f>
        <v>43328.34</v>
      </c>
      <c r="L14" s="38">
        <f t="shared" ref="L14" si="22">K14/D14</f>
        <v>0.76726172602014642</v>
      </c>
      <c r="M14" s="11"/>
    </row>
    <row r="15" spans="1:13" x14ac:dyDescent="0.2">
      <c r="A15" s="44" t="s">
        <v>121</v>
      </c>
      <c r="B15" s="51" t="s">
        <v>18</v>
      </c>
      <c r="C15" s="53">
        <v>7.4999999999999997E-2</v>
      </c>
      <c r="D15" s="24">
        <f t="shared" si="12"/>
        <v>21176.773125749998</v>
      </c>
      <c r="E15" s="31">
        <f t="shared" si="13"/>
        <v>9347.8071211875013</v>
      </c>
      <c r="F15" s="24">
        <f>SUMIFS([1]PositionsHK!V:V,[1]PositionsHK!F:F,"HEAL")</f>
        <v>9292.5</v>
      </c>
      <c r="G15" s="38">
        <f t="shared" si="15"/>
        <v>0.99408341224091545</v>
      </c>
      <c r="H15" s="31">
        <f t="shared" si="14"/>
        <v>11828.966004562501</v>
      </c>
      <c r="I15" s="24">
        <f>SUMIFS([1]PositionsAL!V:V,[1]PositionsAL!F:F,"HEAL")</f>
        <v>9292.5</v>
      </c>
      <c r="J15" s="38">
        <f t="shared" si="16"/>
        <v>0.78557162108808398</v>
      </c>
      <c r="K15" s="47">
        <f t="shared" si="0"/>
        <v>18585</v>
      </c>
      <c r="L15" s="38">
        <f t="shared" si="1"/>
        <v>0.87761246199504683</v>
      </c>
      <c r="M15" s="11"/>
    </row>
    <row r="16" spans="1:13" x14ac:dyDescent="0.2">
      <c r="A16" s="44" t="s">
        <v>10</v>
      </c>
      <c r="B16" s="51" t="s">
        <v>18</v>
      </c>
      <c r="C16" s="53">
        <v>7.4999999999999997E-2</v>
      </c>
      <c r="D16" s="24">
        <f t="shared" si="12"/>
        <v>21176.773125749998</v>
      </c>
      <c r="E16" s="31">
        <f>$E$11*C16</f>
        <v>9347.8071211875013</v>
      </c>
      <c r="F16" s="24">
        <f>SUMIFS([1]PositionsHK!V:V,[1]PositionsHK!F:F,"INRA")</f>
        <v>10418.75</v>
      </c>
      <c r="G16" s="38">
        <f>F16/E16</f>
        <v>1.1145662148275532</v>
      </c>
      <c r="H16" s="31">
        <f>$H$11*C16</f>
        <v>11828.966004562501</v>
      </c>
      <c r="I16" s="24">
        <f>SUMIFS([1]PositionsAL!V:V,[1]PositionsAL!F:F,"INRA")</f>
        <v>10418.75</v>
      </c>
      <c r="J16" s="38">
        <f>I16/H16</f>
        <v>0.88078281702571704</v>
      </c>
      <c r="K16" s="47">
        <f>F16+I16</f>
        <v>20837.5</v>
      </c>
      <c r="L16" s="38">
        <f>K16/D16</f>
        <v>0.98397899794575139</v>
      </c>
      <c r="M16" s="11"/>
    </row>
    <row r="17" spans="1:13" x14ac:dyDescent="0.2">
      <c r="A17" s="44" t="s">
        <v>138</v>
      </c>
      <c r="B17" s="51" t="s">
        <v>18</v>
      </c>
      <c r="C17" s="53">
        <v>7.4999999999999997E-2</v>
      </c>
      <c r="D17" s="24">
        <f t="shared" si="12"/>
        <v>21176.773125749998</v>
      </c>
      <c r="E17" s="31">
        <f>$E$11*C17</f>
        <v>9347.8071211875013</v>
      </c>
      <c r="F17" s="24">
        <f>SUMIFS([1]PositionsHK!V:V,[1]PositionsHK!F:F,"GRID")</f>
        <v>0</v>
      </c>
      <c r="G17" s="38">
        <f>F17/E17</f>
        <v>0</v>
      </c>
      <c r="H17" s="31">
        <f>$H$11*C17</f>
        <v>11828.966004562501</v>
      </c>
      <c r="I17" s="24">
        <f>SUMIFS([1]PositionsAL!V:V,[1]PositionsAL!F:F,"GRID")</f>
        <v>0</v>
      </c>
      <c r="J17" s="38">
        <f>I17/H17</f>
        <v>0</v>
      </c>
      <c r="K17" s="47">
        <f>F17+I17</f>
        <v>0</v>
      </c>
      <c r="L17" s="38">
        <f>K17/D17</f>
        <v>0</v>
      </c>
      <c r="M17" s="11"/>
    </row>
    <row r="18" spans="1:13" x14ac:dyDescent="0.2">
      <c r="A18" s="44" t="s">
        <v>9</v>
      </c>
      <c r="B18" s="51" t="s">
        <v>18</v>
      </c>
      <c r="C18" s="53">
        <v>7.4999999999999997E-2</v>
      </c>
      <c r="D18" s="24">
        <f t="shared" si="12"/>
        <v>21176.773125749998</v>
      </c>
      <c r="E18" s="31">
        <f t="shared" si="13"/>
        <v>9347.8071211875013</v>
      </c>
      <c r="F18" s="24">
        <f>SUMIFS([1]PositionsHK!V:V,[1]PositionsHK!F:F,"LOCK")</f>
        <v>9824</v>
      </c>
      <c r="G18" s="38">
        <f t="shared" si="15"/>
        <v>1.0509416671352976</v>
      </c>
      <c r="H18" s="31">
        <f t="shared" si="14"/>
        <v>11828.966004562501</v>
      </c>
      <c r="I18" s="24">
        <f>SUMIFS([1]PositionsAL!V:V,[1]PositionsAL!F:F,"LOCK")</f>
        <v>9824</v>
      </c>
      <c r="J18" s="38">
        <f t="shared" si="16"/>
        <v>0.83050369712879613</v>
      </c>
      <c r="K18" s="47">
        <f t="shared" si="0"/>
        <v>19648</v>
      </c>
      <c r="L18" s="38">
        <f t="shared" si="1"/>
        <v>0.92780896708521288</v>
      </c>
      <c r="M18" s="11"/>
    </row>
    <row r="19" spans="1:13" x14ac:dyDescent="0.2">
      <c r="A19" s="43" t="s">
        <v>187</v>
      </c>
      <c r="B19" s="51" t="s">
        <v>18</v>
      </c>
      <c r="C19" s="52">
        <v>0.25</v>
      </c>
      <c r="D19" s="23">
        <f>$G$42*C19</f>
        <v>235297.47917500001</v>
      </c>
      <c r="E19" s="30">
        <f>$E$2*C19</f>
        <v>103864.52356875001</v>
      </c>
      <c r="F19" s="23" cm="1">
        <f t="array" ref="F19">SUMPRODUCT(SUMIFS([1]PositionsHK!V:V,[1]PositionsHK!F:F,IncomeStrategy!A:A))+SUMIFS([1]PositionsHK!V:V,[1]PositionsHK!D:D,"OPT")-SUMIFS([1]PositionsHK!V:V,[1]PositionsHK!D:D,"OPT",[1]PositionsHK!F:F,"SPY*")-SUMIFS([1]PositionsHK!V:V,[1]PositionsHK!D:D,"OPT",[1]PositionsHK!F:F,"QQQ*")+SUMIFS([1]PositionsHK!V:V,[1]PositionsHK!D:D,"FOP")-SUMIFS([1]PositionsHK!V:V,[1]PositionsHK!D:D,"FOP",[1]PositionsHK!F:F,"SPY*")-SUMIFS([1]PositionsHK!V:V,[1]PositionsHK!D:D,"FOP",[1]PositionsHK!F:F,"QQQ*")</f>
        <v>86571.87</v>
      </c>
      <c r="G19" s="37">
        <f>F19/E19</f>
        <v>0.83350760226321496</v>
      </c>
      <c r="H19" s="30">
        <f>$H$2*C19</f>
        <v>131432.95560625001</v>
      </c>
      <c r="I19" s="23" cm="1">
        <f t="array" ref="I19">SUMPRODUCT(SUMIFS([1]PositionsAL!V:V,[1]PositionsAL!F:F,IncomeStrategy!A:A))+SUMIFS([1]PositionsAL!V:V,[1]PositionsAL!D:D,"OPT")-SUMIFS([1]PositionsAL!V:V,[1]PositionsAL!D:D,"OPT",[1]PositionsAL!F:F,"SPY*")-SUMIFS([1]PositionsAL!V:V,[1]PositionsAL!D:D,"OPT",[1]PositionsAL!F:F,"QQQ*")+SUMIFS([1]PositionsAL!V:V,[1]PositionsAL!D:D,"FOP")-SUMIFS([1]PositionsAL!V:V,[1]PositionsAL!D:D,"FOP",[1]PositionsAL!F:F,"SPY*")-SUMIFS([1]PositionsAL!V:V,[1]PositionsAL!D:D,"FOP",[1]PositionsAL!F:F,"QQQ*")</f>
        <v>62651.45</v>
      </c>
      <c r="J19" s="37">
        <f t="shared" ref="J19:J23" si="23">I19/H19</f>
        <v>0.47667991418904637</v>
      </c>
      <c r="K19" s="46">
        <f t="shared" si="0"/>
        <v>149223.32</v>
      </c>
      <c r="L19" s="37">
        <f t="shared" si="1"/>
        <v>0.63419004964781933</v>
      </c>
    </row>
    <row r="20" spans="1:13" x14ac:dyDescent="0.2">
      <c r="A20" s="43" t="s">
        <v>186</v>
      </c>
      <c r="B20" s="51" t="s">
        <v>18</v>
      </c>
      <c r="C20" s="54">
        <v>2.5000000000000001E-2</v>
      </c>
      <c r="D20" s="25">
        <f>$G$42*C20</f>
        <v>23529.747917500004</v>
      </c>
      <c r="E20" s="32">
        <f>$E$2*C20</f>
        <v>10386.452356875001</v>
      </c>
      <c r="F20" s="25" cm="1">
        <f t="array" ref="F20">SUMIFS([1]PositionsHK!V:V,[1]PositionsHK!D:D,"STK")-SUMPRODUCT(SUMIFS([1]PositionsHK!V:V,[1]PositionsHK!D:D,"STK",[1]PositionsHK!F:F,GlobalETF!A:A))-SUMPRODUCT(SUMIFS([1]PositionsHK!V:V,[1]PositionsHK!D:D,"STK",[1]PositionsHK!F:F,GrowthEngine!A:A))-SUMPRODUCT(SUMIFS([1]PositionsHK!V:V,[1]PositionsHK!D:D,"STK",[1]PositionsHK!F:F,IncomeStrategy!A:A))-SUMPRODUCT(SUMIFS([1]PositionsHK!V:V,[1]PositionsHK!D:D,"STK",[1]PositionsHK!F:F,Gold!A:A))</f>
        <v>10622.800000000008</v>
      </c>
      <c r="G20" s="37">
        <f t="shared" ref="G20:G21" si="24">F20/E20</f>
        <v>1.0227553773901021</v>
      </c>
      <c r="H20" s="32">
        <f>$H$2*C20</f>
        <v>13143.295560625002</v>
      </c>
      <c r="I20" s="25" cm="1">
        <f t="array" ref="I20">SUMIFS([1]PositionsAL!V:V,[1]PositionsAL!D:D,"STK")-SUMPRODUCT(SUMIFS([1]PositionsAL!V:V,[1]PositionsAL!D:D,"STK",[1]PositionsAL!F:F,GlobalETF!A:A))-SUMPRODUCT(SUMIFS([1]PositionsAL!V:V,[1]PositionsAL!D:D,"STK",[1]PositionsAL!F:F,GrowthEngine!A:A))-SUMPRODUCT(SUMIFS([1]PositionsAL!V:V,[1]PositionsAL!D:D,"STK",[1]PositionsAL!F:F,IncomeStrategy!A:A))-SUMPRODUCT(SUMIFS([1]PositionsAL!V:V,[1]PositionsAL!D:D,"STK",[1]PositionsAL!F:F,Gold!A:A))</f>
        <v>3581.3399999999965</v>
      </c>
      <c r="J20" s="39">
        <f>I20/H20</f>
        <v>0.27248417137700687</v>
      </c>
      <c r="K20" s="48">
        <f t="shared" si="0"/>
        <v>14204.140000000005</v>
      </c>
      <c r="L20" s="39">
        <f t="shared" si="1"/>
        <v>0.60366732571052428</v>
      </c>
      <c r="M20" s="12"/>
    </row>
    <row r="21" spans="1:13" x14ac:dyDescent="0.2">
      <c r="A21" s="43" t="s">
        <v>185</v>
      </c>
      <c r="B21" s="51" t="s">
        <v>18</v>
      </c>
      <c r="C21" s="54">
        <v>2.5000000000000001E-2</v>
      </c>
      <c r="D21" s="25">
        <f>$G$42*C21</f>
        <v>23529.747917500004</v>
      </c>
      <c r="E21" s="32">
        <f>$E$2*C21</f>
        <v>10386.452356875001</v>
      </c>
      <c r="F21" s="25">
        <f>SUMIFS([1]PositionsHK!V:V,[1]PositionsHK!F:F,"SPY*")+SUMIFS([1]PositionsHK!V:V,[1]PositionsHK!F:F,"QQQ*")</f>
        <v>6391.72</v>
      </c>
      <c r="G21" s="37">
        <f t="shared" si="24"/>
        <v>0.61539010437661057</v>
      </c>
      <c r="H21" s="32">
        <f>H2*C21</f>
        <v>13143.295560625002</v>
      </c>
      <c r="I21" s="25">
        <f>SUMIFS([1]PositionsAL!V:V,[1]PositionsAL!F:F,"SPY*")+SUMIFS([1]PositionsAL!V:V,[1]PositionsAL!F:F,"QQQ*")</f>
        <v>6391.72</v>
      </c>
      <c r="J21" s="39">
        <f>I21/H21</f>
        <v>0.48631029946161047</v>
      </c>
      <c r="K21" s="48">
        <f t="shared" si="0"/>
        <v>12783.44</v>
      </c>
      <c r="L21" s="39">
        <f t="shared" si="1"/>
        <v>0.54328843831312146</v>
      </c>
      <c r="M21" s="12"/>
    </row>
    <row r="22" spans="1:13" x14ac:dyDescent="0.2">
      <c r="A22" s="43" t="s">
        <v>142</v>
      </c>
      <c r="B22" s="51" t="s">
        <v>16</v>
      </c>
      <c r="C22" s="52">
        <v>0.05</v>
      </c>
      <c r="D22" s="23">
        <f>$G$42*C22</f>
        <v>47059.495835000009</v>
      </c>
      <c r="E22" s="30">
        <f>$E$2*C22</f>
        <v>20772.904713750002</v>
      </c>
      <c r="F22" s="23">
        <f>SUMIFS([1]PositionsHK!V:V,[1]PositionsHK!F:F,"GSD")</f>
        <v>11690.70875</v>
      </c>
      <c r="G22" s="37">
        <f t="shared" ref="G22:G23" si="25">F22/H22</f>
        <v>0.44474038859109671</v>
      </c>
      <c r="H22" s="30">
        <f>$H$2*C22</f>
        <v>26286.591121250003</v>
      </c>
      <c r="I22" s="23">
        <f>SUMIFS([1]PositionsAL!V:V,[1]PositionsAL!F:F,"GSD")</f>
        <v>0</v>
      </c>
      <c r="J22" s="37">
        <f t="shared" si="23"/>
        <v>0</v>
      </c>
      <c r="K22" s="46">
        <f t="shared" si="0"/>
        <v>11690.70875</v>
      </c>
      <c r="L22" s="37">
        <f t="shared" si="1"/>
        <v>0.2484240118294076</v>
      </c>
    </row>
    <row r="23" spans="1:13" x14ac:dyDescent="0.2">
      <c r="A23" s="42" t="s">
        <v>143</v>
      </c>
      <c r="B23" s="51" t="s">
        <v>18</v>
      </c>
      <c r="C23" s="52">
        <v>0.05</v>
      </c>
      <c r="D23" s="23">
        <f>$G$42*C23</f>
        <v>47059.495835000009</v>
      </c>
      <c r="E23" s="33">
        <f>$E$2*C23</f>
        <v>20772.904713750002</v>
      </c>
      <c r="F23" s="55" t="str">
        <f>[1]Summary!$C$2</f>
        <v>$138,115.20</v>
      </c>
      <c r="G23" s="40">
        <f t="shared" si="25"/>
        <v>5.2542073395111357</v>
      </c>
      <c r="H23" s="33">
        <f>$H$2*C23</f>
        <v>26286.591121250003</v>
      </c>
      <c r="I23" s="55" t="str">
        <f>[1]Summary!$C$3</f>
        <v>$181,807.52</v>
      </c>
      <c r="J23" s="40">
        <f t="shared" si="23"/>
        <v>6.9163597197290185</v>
      </c>
      <c r="K23" s="49">
        <f t="shared" si="0"/>
        <v>319922.71999999997</v>
      </c>
      <c r="L23" s="40">
        <f t="shared" si="1"/>
        <v>6.7982606766913296</v>
      </c>
    </row>
    <row r="24" spans="1:13" x14ac:dyDescent="0.2">
      <c r="A24" s="6"/>
      <c r="B24" s="6"/>
      <c r="C24" s="7">
        <f>C4+C11+C19+C20+C21+C22+C23</f>
        <v>1</v>
      </c>
      <c r="D24" s="6"/>
      <c r="E24" s="6"/>
      <c r="F24" s="8"/>
      <c r="G24" s="8"/>
      <c r="H24" s="8"/>
      <c r="I24" s="8"/>
      <c r="J24" s="6"/>
      <c r="K24" s="6"/>
      <c r="L24" s="6"/>
    </row>
    <row r="25" spans="1:13" x14ac:dyDescent="0.2">
      <c r="F25" s="3"/>
      <c r="I25" s="3"/>
    </row>
    <row r="26" spans="1:13" x14ac:dyDescent="0.2">
      <c r="A26" s="13"/>
      <c r="B26" s="13"/>
    </row>
    <row r="41" spans="7:11" x14ac:dyDescent="0.2">
      <c r="G41" s="17" t="s">
        <v>128</v>
      </c>
      <c r="H41" s="16"/>
      <c r="J41" t="s">
        <v>182</v>
      </c>
      <c r="K41" t="s">
        <v>183</v>
      </c>
    </row>
    <row r="42" spans="7:11" x14ac:dyDescent="0.2">
      <c r="G42" s="21">
        <f>E2+H2</f>
        <v>941189.91670000006</v>
      </c>
      <c r="H42" s="16"/>
      <c r="J42" t="s">
        <v>18</v>
      </c>
      <c r="K42" s="56">
        <v>365115.64</v>
      </c>
    </row>
    <row r="43" spans="7:11" x14ac:dyDescent="0.2">
      <c r="G43" s="17" t="s">
        <v>129</v>
      </c>
      <c r="H43" s="22">
        <f>G44/G42</f>
        <v>0.6600869661654335</v>
      </c>
      <c r="J43" t="s">
        <v>135</v>
      </c>
      <c r="K43" s="56">
        <v>127769.98974999999</v>
      </c>
    </row>
    <row r="44" spans="7:11" x14ac:dyDescent="0.2">
      <c r="G44" s="21">
        <f>G42-G46</f>
        <v>621267.19670000009</v>
      </c>
      <c r="H44" s="16"/>
      <c r="J44" t="s">
        <v>14</v>
      </c>
      <c r="K44" s="56">
        <v>99402.54</v>
      </c>
    </row>
    <row r="45" spans="7:11" x14ac:dyDescent="0.2">
      <c r="G45" s="17" t="s">
        <v>130</v>
      </c>
      <c r="H45" s="22">
        <f>G46/G42</f>
        <v>0.3399130338345665</v>
      </c>
      <c r="J45" t="s">
        <v>16</v>
      </c>
      <c r="K45" s="56">
        <v>70588.302949999998</v>
      </c>
    </row>
    <row r="46" spans="7:11" x14ac:dyDescent="0.2">
      <c r="G46" s="21">
        <f>F23+I23</f>
        <v>319922.71999999997</v>
      </c>
      <c r="H46" s="16"/>
      <c r="J46" t="s">
        <v>184</v>
      </c>
      <c r="K46" s="56">
        <v>18152.184000000001</v>
      </c>
    </row>
    <row r="48" spans="7:11" x14ac:dyDescent="0.2">
      <c r="H48" s="1">
        <f>SUMIFS([1]PositionsHK!V:V,[1]PositionsHK!D:D,"OPT",[1]PositionsHK!T:T,"Long")+SUMIFS([1]PositionsHK!V:V,[1]PositionsHK!D:D,"FOP",[1]PositionsHK!T:T,"Long")</f>
        <v>10298.08</v>
      </c>
    </row>
    <row r="51" spans="1:8" x14ac:dyDescent="0.2">
      <c r="A51" s="16"/>
      <c r="B51" s="16" t="s">
        <v>5</v>
      </c>
      <c r="C51" s="16" t="s">
        <v>127</v>
      </c>
      <c r="E51" s="20"/>
      <c r="F51" s="20"/>
      <c r="H51" s="1" t="e">
        <f>SUMIFS([2]PositionsHK!V:V, [2]PositionsHK!D:D, "OPT", [2]PositionsHK!T:T, "Long", [2]PositionsHK!F:F, "SPY")
+SUMIFS([2]PositionsHK!V:V, [2]PositionsHK!D:D, "OPT", [2]PositionsHK!T:T, "Short", [2]PositionsHK!F:F, "SPY")
+SUMIFS([2]PositionsHK!V:V, [2]PositionsHK!D:D, "OPT", [2]PositionsHK!T:T, "Long", [2]PositionsHK!F:F, "QQQ")
+SUMIFS([2]PositionsHK!V:V, [2]PositionsHK!D:D, "OPT", [2]PositionsHK!T:T, "Short", [2]PositionsHK!F:F, "QQQ")</f>
        <v>#VALUE!</v>
      </c>
    </row>
    <row r="52" spans="1:8" x14ac:dyDescent="0.2">
      <c r="A52" s="17" t="str">
        <f>A4</f>
        <v>Global Triads (the strategic core)</v>
      </c>
      <c r="B52" s="18">
        <f>D4</f>
        <v>282356.97500999999</v>
      </c>
      <c r="C52" s="19">
        <f>K4</f>
        <v>295003.50795</v>
      </c>
      <c r="E52" s="20"/>
      <c r="F52" s="20"/>
    </row>
    <row r="53" spans="1:8" x14ac:dyDescent="0.2">
      <c r="A53" s="17" t="str">
        <f>A11</f>
        <v>Four Horsemen (growth engine)</v>
      </c>
      <c r="B53" s="18">
        <f>D11</f>
        <v>282356.97500999999</v>
      </c>
      <c r="C53" s="19">
        <f>K11</f>
        <v>163928.95999999999</v>
      </c>
      <c r="E53" s="20"/>
      <c r="F53" s="20"/>
    </row>
    <row r="54" spans="1:8" x14ac:dyDescent="0.2">
      <c r="A54" s="17" t="str">
        <f>A19</f>
        <v>Cash Cow (income Strategy, wheel/CSPs/CC/callOpts)</v>
      </c>
      <c r="B54" s="18">
        <f>D19</f>
        <v>235297.47917500001</v>
      </c>
      <c r="C54" s="19">
        <f>K19</f>
        <v>149223.32</v>
      </c>
      <c r="E54" s="20"/>
      <c r="F54" s="20"/>
    </row>
    <row r="55" spans="1:8" x14ac:dyDescent="0.2">
      <c r="A55" s="17" t="str">
        <f>A20</f>
        <v>The Alpha (theme stocks)</v>
      </c>
      <c r="B55" s="18">
        <f>D20</f>
        <v>23529.747917500004</v>
      </c>
      <c r="C55" s="19">
        <f>K20</f>
        <v>14204.140000000005</v>
      </c>
      <c r="E55" s="20"/>
      <c r="F55" s="20"/>
    </row>
    <row r="56" spans="1:8" x14ac:dyDescent="0.2">
      <c r="A56" s="17" t="str">
        <f>A21</f>
        <v>The Omega (insurance, SPY and QQQ bear spreads)</v>
      </c>
      <c r="B56" s="18">
        <f>D21</f>
        <v>23529.747917500004</v>
      </c>
      <c r="C56" s="19">
        <f>K21</f>
        <v>12783.44</v>
      </c>
      <c r="E56" s="20"/>
      <c r="F56" s="20"/>
    </row>
    <row r="57" spans="1:8" x14ac:dyDescent="0.2">
      <c r="A57" s="17" t="str">
        <f>A22</f>
        <v>The Vault (Gold)</v>
      </c>
      <c r="B57" s="18">
        <f>D22</f>
        <v>47059.495835000009</v>
      </c>
      <c r="C57" s="19">
        <f>K22</f>
        <v>11690.70875</v>
      </c>
      <c r="E57" s="20"/>
      <c r="F57" s="20"/>
    </row>
    <row r="58" spans="1:8" x14ac:dyDescent="0.2">
      <c r="A58" s="17" t="str">
        <f>A23</f>
        <v>The War Chest (Cash)</v>
      </c>
      <c r="B58" s="18">
        <f>D23</f>
        <v>47059.495835000009</v>
      </c>
      <c r="C58" s="19">
        <f>K23</f>
        <v>319922.71999999997</v>
      </c>
      <c r="E58" s="20"/>
      <c r="F58" s="20"/>
    </row>
  </sheetData>
  <conditionalFormatting sqref="G4:G23 L16:L23">
    <cfRule type="expression" dxfId="31" priority="151">
      <formula>AND(G4&gt;=50%, G4&lt;80%)</formula>
    </cfRule>
    <cfRule type="expression" dxfId="30" priority="152">
      <formula>AND(G4&gt;=80%, G4&lt;=120%)</formula>
    </cfRule>
  </conditionalFormatting>
  <conditionalFormatting sqref="J4:J10">
    <cfRule type="expression" dxfId="29" priority="85">
      <formula>AND(J4&gt;=120%)</formula>
    </cfRule>
    <cfRule type="expression" dxfId="28" priority="86">
      <formula>AND(J4&lt;50%)</formula>
    </cfRule>
    <cfRule type="expression" dxfId="27" priority="87">
      <formula>AND(J4&gt;=50%, J4&lt;80%)</formula>
    </cfRule>
    <cfRule type="expression" dxfId="26" priority="88">
      <formula>AND(J4&gt;=80%, J4&lt;=120%)</formula>
    </cfRule>
  </conditionalFormatting>
  <conditionalFormatting sqref="J8:J10">
    <cfRule type="expression" dxfId="25" priority="81">
      <formula>AND(J8&gt;=120%)</formula>
    </cfRule>
    <cfRule type="expression" dxfId="24" priority="82">
      <formula>AND(J8&lt;50%)</formula>
    </cfRule>
    <cfRule type="expression" dxfId="23" priority="83">
      <formula>AND(J8&gt;=50%, J8&lt;80%)</formula>
    </cfRule>
    <cfRule type="expression" dxfId="22" priority="84">
      <formula>AND(J8&gt;=80%, J8&lt;=120%)</formula>
    </cfRule>
  </conditionalFormatting>
  <conditionalFormatting sqref="J11:J23">
    <cfRule type="expression" dxfId="21" priority="125">
      <formula>AND(J11&gt;=120%)</formula>
    </cfRule>
    <cfRule type="expression" dxfId="20" priority="126">
      <formula>AND(J11&lt;50%)</formula>
    </cfRule>
    <cfRule type="expression" dxfId="19" priority="127">
      <formula>AND(J11&gt;=50%, J11&lt;80%)</formula>
    </cfRule>
    <cfRule type="expression" dxfId="18" priority="128">
      <formula>AND(J11&gt;=80%, J11&lt;=120%)</formula>
    </cfRule>
  </conditionalFormatting>
  <conditionalFormatting sqref="J16:J17">
    <cfRule type="expression" dxfId="17" priority="121">
      <formula>AND(J16&gt;=120%)</formula>
    </cfRule>
    <cfRule type="expression" dxfId="16" priority="122">
      <formula>AND(J16&lt;50%)</formula>
    </cfRule>
    <cfRule type="expression" dxfId="15" priority="123">
      <formula>AND(J16&gt;=50%, J16&lt;80%)</formula>
    </cfRule>
    <cfRule type="expression" dxfId="14" priority="124">
      <formula>AND(J16&gt;=80%, J16&lt;=120%)</formula>
    </cfRule>
  </conditionalFormatting>
  <conditionalFormatting sqref="L4:L9">
    <cfRule type="expression" dxfId="13" priority="61">
      <formula>AND(L4&gt;=120%)</formula>
    </cfRule>
    <cfRule type="expression" dxfId="12" priority="62">
      <formula>AND(L4&lt;50%)</formula>
    </cfRule>
    <cfRule type="expression" dxfId="11" priority="63">
      <formula>AND(L4&gt;=50%, L4&lt;80%)</formula>
    </cfRule>
    <cfRule type="expression" dxfId="10" priority="64">
      <formula>AND(L4&gt;=80%, L4&lt;=120%)</formula>
    </cfRule>
  </conditionalFormatting>
  <conditionalFormatting sqref="L8:L11">
    <cfRule type="expression" dxfId="9" priority="53">
      <formula>AND(L8&gt;=120%)</formula>
    </cfRule>
    <cfRule type="expression" dxfId="8" priority="54">
      <formula>AND(L8&lt;50%)</formula>
    </cfRule>
    <cfRule type="expression" dxfId="7" priority="55">
      <formula>AND(L8&gt;=50%, L8&lt;80%)</formula>
    </cfRule>
    <cfRule type="expression" dxfId="6" priority="56">
      <formula>AND(L8&gt;=80%, L8&lt;=120%)</formula>
    </cfRule>
  </conditionalFormatting>
  <conditionalFormatting sqref="L10:L17">
    <cfRule type="expression" dxfId="5" priority="33">
      <formula>AND(L10&gt;=120%)</formula>
    </cfRule>
    <cfRule type="expression" dxfId="4" priority="34">
      <formula>AND(L10&lt;50%)</formula>
    </cfRule>
    <cfRule type="expression" dxfId="3" priority="35">
      <formula>AND(L10&gt;=50%, L10&lt;80%)</formula>
    </cfRule>
    <cfRule type="expression" dxfId="2" priority="36">
      <formula>AND(L10&gt;=80%, L10&lt;=120%)</formula>
    </cfRule>
  </conditionalFormatting>
  <conditionalFormatting sqref="L16:L23 G4:G23">
    <cfRule type="expression" dxfId="1" priority="149">
      <formula>AND(G4&gt;=120%)</formula>
    </cfRule>
    <cfRule type="expression" dxfId="0" priority="150">
      <formula>AND(G4&lt;50%)</formula>
    </cfRule>
  </conditionalFormatting>
  <pageMargins left="0.75" right="0.75" top="1" bottom="1" header="0.5" footer="0.5"/>
  <pageSetup paperSize="9" orientation="portrait" horizontalDpi="0" verticalDpi="0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/>
  </sheetViews>
  <sheetFormatPr baseColWidth="10" defaultRowHeight="16" x14ac:dyDescent="0.2"/>
  <cols>
    <col min="1" max="1" width="13.5" style="1" customWidth="1"/>
    <col min="2" max="2" width="12.6640625" style="1" customWidth="1"/>
    <col min="3" max="3" width="39" style="1" bestFit="1" customWidth="1"/>
    <col min="4" max="4" width="22.83203125" style="1" customWidth="1"/>
    <col min="5" max="5" width="80.5" style="1" customWidth="1"/>
    <col min="6" max="6" width="20.6640625" style="1" customWidth="1"/>
    <col min="7" max="7" width="32.5" style="1" customWidth="1"/>
    <col min="8" max="16384" width="10.83203125" style="1"/>
  </cols>
  <sheetData>
    <row r="1" spans="1:7" x14ac:dyDescent="0.2">
      <c r="A1" s="1" t="s">
        <v>11</v>
      </c>
      <c r="B1" s="1" t="s">
        <v>132</v>
      </c>
      <c r="C1" s="1" t="s">
        <v>146</v>
      </c>
      <c r="D1" s="1" t="s">
        <v>147</v>
      </c>
      <c r="E1" s="1" t="s">
        <v>148</v>
      </c>
      <c r="F1" s="1" t="s">
        <v>149</v>
      </c>
      <c r="G1" s="1" t="s">
        <v>150</v>
      </c>
    </row>
    <row r="2" spans="1:7" x14ac:dyDescent="0.2">
      <c r="A2" s="1">
        <v>82846</v>
      </c>
      <c r="B2" s="1" t="s">
        <v>12</v>
      </c>
      <c r="C2" s="1" t="s">
        <v>189</v>
      </c>
      <c r="D2" s="1">
        <v>3.8E-3</v>
      </c>
      <c r="E2" s="1" t="s">
        <v>190</v>
      </c>
      <c r="F2" s="1" t="s">
        <v>151</v>
      </c>
      <c r="G2" s="1">
        <v>-6.3500000000000001E-2</v>
      </c>
    </row>
    <row r="3" spans="1:7" x14ac:dyDescent="0.2">
      <c r="A3" s="1" t="s">
        <v>13</v>
      </c>
      <c r="B3" s="1" t="s">
        <v>14</v>
      </c>
      <c r="C3" s="1" t="s">
        <v>166</v>
      </c>
      <c r="D3" s="1" t="s">
        <v>152</v>
      </c>
      <c r="E3" s="1" t="s">
        <v>191</v>
      </c>
      <c r="F3" s="1" t="s">
        <v>152</v>
      </c>
      <c r="G3" s="1" t="s">
        <v>153</v>
      </c>
    </row>
    <row r="4" spans="1:7" x14ac:dyDescent="0.2">
      <c r="A4" s="1" t="s">
        <v>15</v>
      </c>
      <c r="B4" s="1" t="s">
        <v>16</v>
      </c>
      <c r="C4" s="1" t="s">
        <v>188</v>
      </c>
      <c r="D4" s="1" t="s">
        <v>154</v>
      </c>
      <c r="E4" s="1" t="s">
        <v>192</v>
      </c>
      <c r="F4" s="1" t="s">
        <v>155</v>
      </c>
      <c r="G4" s="1" t="s">
        <v>156</v>
      </c>
    </row>
    <row r="5" spans="1:7" x14ac:dyDescent="0.2">
      <c r="A5" s="1" t="s">
        <v>17</v>
      </c>
      <c r="B5" s="1" t="s">
        <v>18</v>
      </c>
      <c r="C5" s="1" t="s">
        <v>193</v>
      </c>
      <c r="D5" s="1" t="s">
        <v>157</v>
      </c>
      <c r="E5" s="1" t="s">
        <v>194</v>
      </c>
      <c r="F5" s="1" t="s">
        <v>158</v>
      </c>
      <c r="G5" s="1" t="s">
        <v>159</v>
      </c>
    </row>
    <row r="6" spans="1:7" x14ac:dyDescent="0.2">
      <c r="A6" s="1" t="s">
        <v>144</v>
      </c>
      <c r="B6" s="1" t="s">
        <v>135</v>
      </c>
      <c r="C6" s="1" t="s">
        <v>195</v>
      </c>
      <c r="D6" s="1" t="s">
        <v>160</v>
      </c>
      <c r="E6" s="1" t="s">
        <v>198</v>
      </c>
      <c r="F6" s="1" t="s">
        <v>161</v>
      </c>
      <c r="G6" s="1" t="s">
        <v>162</v>
      </c>
    </row>
    <row r="7" spans="1:7" x14ac:dyDescent="0.2">
      <c r="A7" s="1" t="s">
        <v>145</v>
      </c>
      <c r="B7" s="1" t="s">
        <v>135</v>
      </c>
      <c r="C7" s="1" t="s">
        <v>196</v>
      </c>
      <c r="D7" s="1" t="s">
        <v>163</v>
      </c>
      <c r="E7" s="1" t="s">
        <v>197</v>
      </c>
      <c r="F7" s="1" t="s">
        <v>164</v>
      </c>
      <c r="G7" s="1" t="s">
        <v>165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workbookViewId="0">
      <selection activeCell="C42" sqref="C42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20" style="1" customWidth="1"/>
    <col min="4" max="4" width="17.6640625" style="1" bestFit="1" customWidth="1"/>
    <col min="5" max="5" width="12.83203125" style="1" bestFit="1" customWidth="1"/>
    <col min="6" max="6" width="14" style="1" bestFit="1" customWidth="1"/>
    <col min="7" max="7" width="68.33203125" style="1" bestFit="1" customWidth="1"/>
    <col min="8" max="8" width="10.83203125" style="1" customWidth="1"/>
    <col min="9" max="16384" width="10.83203125" style="1"/>
  </cols>
  <sheetData>
    <row r="1" spans="1:7" x14ac:dyDescent="0.2">
      <c r="A1" s="1" t="s">
        <v>11</v>
      </c>
      <c r="B1" s="1" t="s">
        <v>19</v>
      </c>
      <c r="C1" s="1" t="s">
        <v>173</v>
      </c>
      <c r="D1" s="1" t="s">
        <v>20</v>
      </c>
      <c r="E1" s="1" t="s">
        <v>21</v>
      </c>
      <c r="F1" s="1" t="s">
        <v>22</v>
      </c>
      <c r="G1" s="1" t="s">
        <v>23</v>
      </c>
    </row>
    <row r="2" spans="1:7" x14ac:dyDescent="0.2">
      <c r="A2" s="1" t="s">
        <v>24</v>
      </c>
      <c r="B2" s="1" t="s">
        <v>18</v>
      </c>
      <c r="C2" s="1" t="s">
        <v>171</v>
      </c>
      <c r="D2" s="1" t="s">
        <v>178</v>
      </c>
      <c r="E2" s="2"/>
      <c r="F2" s="2"/>
    </row>
    <row r="3" spans="1:7" x14ac:dyDescent="0.2">
      <c r="A3" s="1" t="s">
        <v>167</v>
      </c>
      <c r="B3" s="1" t="s">
        <v>135</v>
      </c>
      <c r="C3" s="1" t="s">
        <v>171</v>
      </c>
      <c r="D3" s="1" t="s">
        <v>177</v>
      </c>
      <c r="E3" s="2"/>
      <c r="F3" s="2"/>
    </row>
    <row r="4" spans="1:7" x14ac:dyDescent="0.2">
      <c r="A4" s="1" t="s">
        <v>168</v>
      </c>
      <c r="B4" s="1" t="s">
        <v>14</v>
      </c>
      <c r="C4" s="1" t="s">
        <v>170</v>
      </c>
      <c r="D4" s="1" t="s">
        <v>176</v>
      </c>
      <c r="E4" s="2"/>
      <c r="F4" s="2"/>
    </row>
    <row r="5" spans="1:7" x14ac:dyDescent="0.2">
      <c r="A5" s="1" t="s">
        <v>25</v>
      </c>
      <c r="B5" s="1" t="s">
        <v>18</v>
      </c>
      <c r="C5" s="1" t="s">
        <v>174</v>
      </c>
      <c r="D5" s="1" t="s">
        <v>175</v>
      </c>
      <c r="E5" s="2"/>
      <c r="F5" s="2"/>
    </row>
    <row r="6" spans="1:7" x14ac:dyDescent="0.2">
      <c r="A6" s="1" t="s">
        <v>26</v>
      </c>
      <c r="B6" s="1" t="s">
        <v>18</v>
      </c>
      <c r="C6" s="1" t="s">
        <v>172</v>
      </c>
      <c r="D6" s="1" t="s">
        <v>179</v>
      </c>
      <c r="E6" s="2"/>
      <c r="F6" s="2"/>
    </row>
    <row r="7" spans="1:7" x14ac:dyDescent="0.2">
      <c r="A7" s="1" t="s">
        <v>169</v>
      </c>
      <c r="B7" s="1" t="s">
        <v>18</v>
      </c>
      <c r="C7" s="1" t="s">
        <v>170</v>
      </c>
      <c r="D7" s="1" t="s">
        <v>180</v>
      </c>
      <c r="E7" s="2"/>
      <c r="F7" s="2"/>
    </row>
    <row r="8" spans="1:7" x14ac:dyDescent="0.2">
      <c r="A8" s="1" t="s">
        <v>27</v>
      </c>
      <c r="B8" s="1" t="s">
        <v>18</v>
      </c>
      <c r="C8" s="1" t="s">
        <v>174</v>
      </c>
      <c r="D8" s="1" t="s">
        <v>181</v>
      </c>
      <c r="E8" s="2"/>
      <c r="F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3"/>
  <sheetViews>
    <sheetView workbookViewId="0">
      <selection activeCell="C28" sqref="C28"/>
    </sheetView>
  </sheetViews>
  <sheetFormatPr baseColWidth="10" defaultRowHeight="16" x14ac:dyDescent="0.2"/>
  <cols>
    <col min="1" max="1" width="10.6640625" style="1" bestFit="1" customWidth="1"/>
    <col min="2" max="2" width="20" style="1" bestFit="1" customWidth="1"/>
    <col min="3" max="3" width="26" style="1" bestFit="1" customWidth="1"/>
    <col min="4" max="4" width="48.83203125" style="1" customWidth="1"/>
    <col min="5" max="5" width="190" style="1" bestFit="1" customWidth="1"/>
    <col min="6" max="6" width="10.83203125" style="1" customWidth="1"/>
    <col min="7" max="16384" width="10.83203125" style="1"/>
  </cols>
  <sheetData>
    <row r="1" spans="1:5" x14ac:dyDescent="0.2">
      <c r="A1" s="4" t="s">
        <v>11</v>
      </c>
      <c r="B1" s="4" t="s">
        <v>3</v>
      </c>
      <c r="C1" s="4" t="s">
        <v>28</v>
      </c>
      <c r="D1" s="4" t="s">
        <v>29</v>
      </c>
      <c r="E1" s="4" t="s">
        <v>30</v>
      </c>
    </row>
    <row r="2" spans="1:5" x14ac:dyDescent="0.2">
      <c r="A2" s="4" t="s">
        <v>31</v>
      </c>
      <c r="B2" s="4" t="s">
        <v>32</v>
      </c>
      <c r="C2" s="4" t="s">
        <v>33</v>
      </c>
      <c r="D2" s="4" t="s">
        <v>34</v>
      </c>
      <c r="E2" s="4" t="s">
        <v>35</v>
      </c>
    </row>
    <row r="3" spans="1:5" x14ac:dyDescent="0.2">
      <c r="A3" s="4" t="s">
        <v>36</v>
      </c>
      <c r="B3" s="4" t="s">
        <v>37</v>
      </c>
      <c r="C3" s="4" t="s">
        <v>38</v>
      </c>
      <c r="D3" s="4" t="s">
        <v>39</v>
      </c>
      <c r="E3" s="4" t="s">
        <v>40</v>
      </c>
    </row>
    <row r="4" spans="1:5" x14ac:dyDescent="0.2">
      <c r="A4" s="4" t="s">
        <v>41</v>
      </c>
      <c r="B4" s="4" t="s">
        <v>37</v>
      </c>
      <c r="C4" s="4" t="s">
        <v>38</v>
      </c>
      <c r="D4" s="4" t="s">
        <v>42</v>
      </c>
      <c r="E4" s="4" t="s">
        <v>43</v>
      </c>
    </row>
    <row r="5" spans="1:5" x14ac:dyDescent="0.2">
      <c r="A5" s="4" t="s">
        <v>45</v>
      </c>
      <c r="B5" s="4" t="s">
        <v>37</v>
      </c>
      <c r="C5" s="4" t="s">
        <v>44</v>
      </c>
      <c r="D5" s="4" t="s">
        <v>46</v>
      </c>
      <c r="E5" s="4" t="s">
        <v>47</v>
      </c>
    </row>
    <row r="6" spans="1:5" x14ac:dyDescent="0.2">
      <c r="A6" s="4" t="s">
        <v>48</v>
      </c>
      <c r="B6" s="4" t="s">
        <v>37</v>
      </c>
      <c r="C6" s="4" t="s">
        <v>49</v>
      </c>
      <c r="D6" s="4" t="s">
        <v>50</v>
      </c>
      <c r="E6" s="4" t="s">
        <v>51</v>
      </c>
    </row>
    <row r="7" spans="1:5" x14ac:dyDescent="0.2">
      <c r="A7" s="4" t="s">
        <v>52</v>
      </c>
      <c r="B7" s="4" t="s">
        <v>37</v>
      </c>
      <c r="C7" s="4" t="s">
        <v>38</v>
      </c>
      <c r="D7" s="4" t="s">
        <v>53</v>
      </c>
      <c r="E7" s="4" t="s">
        <v>54</v>
      </c>
    </row>
    <row r="8" spans="1:5" x14ac:dyDescent="0.2">
      <c r="A8" s="4" t="s">
        <v>55</v>
      </c>
      <c r="B8" s="4" t="s">
        <v>56</v>
      </c>
      <c r="C8" s="5" t="s">
        <v>57</v>
      </c>
      <c r="D8" s="5" t="s">
        <v>58</v>
      </c>
      <c r="E8" s="5" t="s">
        <v>59</v>
      </c>
    </row>
    <row r="9" spans="1:5" x14ac:dyDescent="0.2">
      <c r="A9" s="4" t="s">
        <v>60</v>
      </c>
      <c r="B9" s="4" t="s">
        <v>56</v>
      </c>
      <c r="C9" s="5" t="s">
        <v>61</v>
      </c>
      <c r="D9" s="5" t="s">
        <v>62</v>
      </c>
      <c r="E9" s="5" t="s">
        <v>63</v>
      </c>
    </row>
    <row r="10" spans="1:5" x14ac:dyDescent="0.2">
      <c r="A10" s="4" t="s">
        <v>64</v>
      </c>
      <c r="B10" s="4" t="s">
        <v>56</v>
      </c>
      <c r="C10" s="5" t="s">
        <v>44</v>
      </c>
      <c r="D10" s="5" t="s">
        <v>65</v>
      </c>
      <c r="E10" s="5" t="s">
        <v>66</v>
      </c>
    </row>
    <row r="11" spans="1:5" x14ac:dyDescent="0.2">
      <c r="A11" s="4" t="s">
        <v>67</v>
      </c>
      <c r="B11" s="4" t="s">
        <v>68</v>
      </c>
      <c r="C11" s="4" t="s">
        <v>44</v>
      </c>
      <c r="D11" s="4" t="s">
        <v>69</v>
      </c>
      <c r="E11" s="4" t="s">
        <v>70</v>
      </c>
    </row>
    <row r="12" spans="1:5" x14ac:dyDescent="0.2">
      <c r="A12" s="4" t="s">
        <v>71</v>
      </c>
      <c r="B12" s="4" t="s">
        <v>72</v>
      </c>
      <c r="C12" s="4" t="s">
        <v>44</v>
      </c>
      <c r="D12" s="4" t="s">
        <v>73</v>
      </c>
      <c r="E12" s="4" t="s">
        <v>74</v>
      </c>
    </row>
    <row r="13" spans="1:5" x14ac:dyDescent="0.2">
      <c r="A13" s="4" t="s">
        <v>75</v>
      </c>
      <c r="B13" s="4" t="s">
        <v>72</v>
      </c>
      <c r="C13" s="4" t="s">
        <v>38</v>
      </c>
      <c r="D13" s="4" t="s">
        <v>76</v>
      </c>
      <c r="E13" s="4" t="s">
        <v>77</v>
      </c>
    </row>
    <row r="14" spans="1:5" x14ac:dyDescent="0.2">
      <c r="A14" s="4" t="s">
        <v>78</v>
      </c>
      <c r="B14" s="4" t="s">
        <v>79</v>
      </c>
      <c r="C14" s="4" t="s">
        <v>38</v>
      </c>
      <c r="D14" s="4" t="s">
        <v>80</v>
      </c>
      <c r="E14" s="4" t="s">
        <v>81</v>
      </c>
    </row>
    <row r="15" spans="1:5" x14ac:dyDescent="0.2">
      <c r="A15" s="4" t="s">
        <v>82</v>
      </c>
      <c r="B15" s="4" t="s">
        <v>79</v>
      </c>
      <c r="C15" s="4" t="s">
        <v>44</v>
      </c>
      <c r="D15" s="4" t="s">
        <v>83</v>
      </c>
      <c r="E15" s="4" t="s">
        <v>84</v>
      </c>
    </row>
    <row r="16" spans="1:5" x14ac:dyDescent="0.2">
      <c r="A16" s="4" t="s">
        <v>85</v>
      </c>
      <c r="B16" s="4" t="s">
        <v>86</v>
      </c>
      <c r="C16" s="4" t="s">
        <v>87</v>
      </c>
      <c r="D16" s="4" t="s">
        <v>88</v>
      </c>
      <c r="E16" s="4" t="s">
        <v>89</v>
      </c>
    </row>
    <row r="17" spans="1:5" x14ac:dyDescent="0.2">
      <c r="A17" s="4" t="s">
        <v>90</v>
      </c>
      <c r="B17" s="4" t="s">
        <v>86</v>
      </c>
      <c r="C17" s="4" t="s">
        <v>38</v>
      </c>
      <c r="D17" s="4" t="s">
        <v>91</v>
      </c>
      <c r="E17" s="4" t="s">
        <v>92</v>
      </c>
    </row>
    <row r="18" spans="1:5" x14ac:dyDescent="0.2">
      <c r="A18" s="4" t="s">
        <v>93</v>
      </c>
      <c r="B18" s="4" t="s">
        <v>86</v>
      </c>
      <c r="C18" s="4" t="s">
        <v>94</v>
      </c>
      <c r="D18" s="4" t="s">
        <v>95</v>
      </c>
      <c r="E18" s="4" t="s">
        <v>96</v>
      </c>
    </row>
    <row r="19" spans="1:5" x14ac:dyDescent="0.2">
      <c r="A19" s="4" t="s">
        <v>97</v>
      </c>
      <c r="B19" s="4" t="s">
        <v>86</v>
      </c>
      <c r="C19" s="4" t="s">
        <v>98</v>
      </c>
      <c r="D19" s="4" t="s">
        <v>99</v>
      </c>
      <c r="E19" s="4" t="s">
        <v>100</v>
      </c>
    </row>
    <row r="20" spans="1:5" x14ac:dyDescent="0.2">
      <c r="A20" s="4" t="s">
        <v>101</v>
      </c>
      <c r="B20" s="4" t="s">
        <v>86</v>
      </c>
      <c r="C20" s="4" t="s">
        <v>44</v>
      </c>
      <c r="D20" s="4" t="s">
        <v>102</v>
      </c>
      <c r="E20" s="4" t="s">
        <v>103</v>
      </c>
    </row>
    <row r="21" spans="1:5" x14ac:dyDescent="0.2">
      <c r="A21" s="4" t="s">
        <v>104</v>
      </c>
      <c r="B21" s="4" t="s">
        <v>86</v>
      </c>
      <c r="C21" s="4" t="s">
        <v>105</v>
      </c>
      <c r="D21" s="4" t="s">
        <v>106</v>
      </c>
      <c r="E21" s="4" t="s">
        <v>107</v>
      </c>
    </row>
    <row r="22" spans="1:5" x14ac:dyDescent="0.2">
      <c r="A22" s="4" t="s">
        <v>108</v>
      </c>
      <c r="B22" s="4" t="s">
        <v>86</v>
      </c>
      <c r="C22" s="4" t="s">
        <v>109</v>
      </c>
      <c r="D22" s="4" t="s">
        <v>110</v>
      </c>
      <c r="E22" s="4" t="s">
        <v>111</v>
      </c>
    </row>
    <row r="23" spans="1:5" x14ac:dyDescent="0.2">
      <c r="A23" s="4" t="s">
        <v>112</v>
      </c>
      <c r="B23" s="4" t="s">
        <v>113</v>
      </c>
      <c r="C23" s="4" t="s">
        <v>105</v>
      </c>
      <c r="D23" s="4" t="s">
        <v>114</v>
      </c>
      <c r="E23" s="4" t="s">
        <v>115</v>
      </c>
    </row>
  </sheetData>
  <autoFilter ref="A1:E1" xr:uid="{00000000-0009-0000-0000-000003000000}">
    <sortState xmlns:xlrd2="http://schemas.microsoft.com/office/spreadsheetml/2017/richdata2" ref="A2:E24">
      <sortCondition ref="B1:B24"/>
    </sortState>
  </autoFilter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selection activeCell="B8" sqref="B8"/>
    </sheetView>
  </sheetViews>
  <sheetFormatPr baseColWidth="10" defaultRowHeight="15" x14ac:dyDescent="0.2"/>
  <cols>
    <col min="1" max="1" width="8.1640625" bestFit="1" customWidth="1"/>
    <col min="2" max="2" width="41.6640625" bestFit="1" customWidth="1"/>
    <col min="3" max="3" width="50.1640625" bestFit="1" customWidth="1"/>
    <col min="4" max="4" width="86.33203125" bestFit="1" customWidth="1"/>
    <col min="5" max="5" width="90" bestFit="1" customWidth="1"/>
  </cols>
  <sheetData>
    <row r="1" spans="1:5" s="1" customFormat="1" ht="16" customHeight="1" x14ac:dyDescent="0.2">
      <c r="A1" s="4" t="s">
        <v>11</v>
      </c>
      <c r="B1" s="4" t="s">
        <v>3</v>
      </c>
      <c r="C1" s="4" t="s">
        <v>28</v>
      </c>
      <c r="D1" s="4" t="s">
        <v>29</v>
      </c>
      <c r="E1" s="4" t="s">
        <v>30</v>
      </c>
    </row>
    <row r="2" spans="1:5" s="1" customFormat="1" ht="16" customHeight="1" x14ac:dyDescent="0.2">
      <c r="A2" s="4" t="s">
        <v>116</v>
      </c>
      <c r="B2" s="4" t="s">
        <v>117</v>
      </c>
      <c r="C2" s="4" t="s">
        <v>118</v>
      </c>
      <c r="D2" s="4" t="s">
        <v>119</v>
      </c>
      <c r="E2" s="4" t="s">
        <v>120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D26" sqref="D26"/>
    </sheetView>
  </sheetViews>
  <sheetFormatPr baseColWidth="10" defaultRowHeight="1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CC04FF-BCEA-6444-AD1A-AB68393E16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GlobalETF</vt:lpstr>
      <vt:lpstr>GrowthEngine</vt:lpstr>
      <vt:lpstr>IncomeStrategy</vt:lpstr>
      <vt:lpstr>Gold</vt:lpstr>
      <vt:lpstr>Todo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 Kiat Koh</cp:lastModifiedBy>
  <dcterms:created xsi:type="dcterms:W3CDTF">2026-01-14T14:20:58Z</dcterms:created>
  <dcterms:modified xsi:type="dcterms:W3CDTF">2026-02-01T08:52:30Z</dcterms:modified>
</cp:coreProperties>
</file>