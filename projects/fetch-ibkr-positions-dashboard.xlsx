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hongkiatkoh/Desktop/timeless-workspace/timeless-workspace/projects/"/>
    </mc:Choice>
  </mc:AlternateContent>
  <xr:revisionPtr revIDLastSave="0" documentId="13_ncr:1_{CBF029A2-9C89-D247-8154-ED82F88A043A}" xr6:coauthVersionLast="47" xr6:coauthVersionMax="47" xr10:uidLastSave="{00000000-0000-0000-0000-000000000000}"/>
  <bookViews>
    <workbookView xWindow="3280" yWindow="2100" windowWidth="39800" windowHeight="2302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ColumnDesc" sheetId="6" r:id="rId6"/>
    <sheet name="Todo" sheetId="7" r:id="rId7"/>
  </sheets>
  <externalReferences>
    <externalReference r:id="rId8"/>
  </externalReferences>
  <definedNames>
    <definedName name="_xlnm._FilterDatabase" localSheetId="3" hidden="1">IncomeStrategy!$A$1:$E$1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K12" i="1" s="1"/>
  <c r="J5" i="1"/>
  <c r="F12" i="1"/>
  <c r="I14" i="1"/>
  <c r="I13" i="1"/>
  <c r="I12" i="1"/>
  <c r="I7" i="1"/>
  <c r="I8" i="1"/>
  <c r="I9" i="1"/>
  <c r="I10" i="1"/>
  <c r="I6" i="1"/>
  <c r="I5" i="1"/>
  <c r="I4" i="1"/>
  <c r="G11" i="1"/>
  <c r="D14" i="1"/>
  <c r="D13" i="1"/>
  <c r="D11" i="1"/>
  <c r="F11" i="1" s="1"/>
  <c r="F10" i="1"/>
  <c r="F7" i="1"/>
  <c r="F8" i="1"/>
  <c r="F9" i="1"/>
  <c r="F6" i="1"/>
  <c r="F5" i="1"/>
  <c r="F4" i="1"/>
  <c r="H5" i="1"/>
  <c r="H12" i="1"/>
  <c r="E12" i="1"/>
  <c r="E5" i="1"/>
  <c r="B17" i="1"/>
  <c r="H15" i="1"/>
  <c r="I15" i="1" s="1"/>
  <c r="E15" i="1"/>
  <c r="F15" i="1" s="1"/>
  <c r="H14" i="1"/>
  <c r="E14" i="1"/>
  <c r="H11" i="1" a="1"/>
  <c r="H11" i="1" s="1"/>
  <c r="E11" i="1" a="1"/>
  <c r="E11" i="1" s="1"/>
  <c r="G5" i="1"/>
  <c r="D5" i="1"/>
  <c r="H10" i="1"/>
  <c r="H9" i="1"/>
  <c r="H8" i="1"/>
  <c r="H7" i="1"/>
  <c r="E7" i="1"/>
  <c r="E10" i="1"/>
  <c r="E9" i="1"/>
  <c r="E8" i="1"/>
  <c r="H6" i="1"/>
  <c r="E6" i="1"/>
  <c r="H4" i="1" a="1"/>
  <c r="H4" i="1" s="1"/>
  <c r="E4" i="1" a="1"/>
  <c r="E4" i="1" s="1"/>
  <c r="H13" i="1" a="1"/>
  <c r="H13" i="1" s="1"/>
  <c r="H17" i="1" s="1"/>
  <c r="E13" i="1" a="1"/>
  <c r="E13" i="1" s="1"/>
  <c r="I7" i="3"/>
  <c r="K3" i="3"/>
  <c r="K2" i="3"/>
  <c r="J16" i="1"/>
  <c r="G16" i="1"/>
  <c r="I16" i="1" s="1"/>
  <c r="F16" i="1"/>
  <c r="D16" i="1"/>
  <c r="G15" i="1"/>
  <c r="D15" i="1"/>
  <c r="G12" i="1"/>
  <c r="G14" i="1" s="1"/>
  <c r="D12" i="1"/>
  <c r="D10" i="1"/>
  <c r="D9" i="1"/>
  <c r="D8" i="1"/>
  <c r="D7" i="1"/>
  <c r="D6" i="1"/>
  <c r="J2" i="3"/>
  <c r="G4" i="1"/>
  <c r="D4" i="1"/>
  <c r="C2" i="1"/>
  <c r="C16" i="1" s="1"/>
  <c r="E17" i="1" l="1"/>
  <c r="G13" i="1"/>
  <c r="L16" i="1"/>
  <c r="F13" i="1"/>
  <c r="I11" i="1"/>
  <c r="L5" i="1"/>
  <c r="F14" i="1"/>
  <c r="J3" i="3"/>
  <c r="C4" i="1"/>
  <c r="J4" i="3"/>
  <c r="C11" i="1"/>
  <c r="C12" i="1"/>
  <c r="C5" i="1"/>
  <c r="K4" i="3"/>
  <c r="K16" i="1"/>
  <c r="J5" i="3"/>
  <c r="K5" i="3"/>
  <c r="J6" i="3"/>
  <c r="J13" i="1"/>
  <c r="J14" i="1"/>
  <c r="J15" i="1"/>
  <c r="J6" i="1"/>
  <c r="J7" i="1"/>
  <c r="J8" i="1"/>
  <c r="J9" i="1"/>
  <c r="J10" i="1"/>
  <c r="J11" i="1"/>
  <c r="J4" i="1"/>
  <c r="K6" i="3"/>
  <c r="G6" i="1"/>
  <c r="G7" i="1"/>
  <c r="G8" i="1"/>
  <c r="G9" i="1"/>
  <c r="G10" i="1"/>
  <c r="C15" i="1"/>
  <c r="L12" i="1" l="1"/>
  <c r="L11" i="1"/>
  <c r="K11" i="1"/>
  <c r="L15" i="1"/>
  <c r="K15" i="1"/>
  <c r="C14" i="1"/>
  <c r="L14" i="1" s="1"/>
  <c r="C13" i="1"/>
  <c r="K13" i="1" s="1"/>
  <c r="K4" i="1"/>
  <c r="L4" i="1"/>
  <c r="L9" i="1"/>
  <c r="K9" i="1"/>
  <c r="L7" i="1"/>
  <c r="K7" i="1"/>
  <c r="L6" i="1"/>
  <c r="K6" i="1"/>
  <c r="C9" i="1"/>
  <c r="C7" i="1"/>
  <c r="C10" i="1"/>
  <c r="C8" i="1"/>
  <c r="L8" i="1" s="1"/>
  <c r="C6" i="1"/>
  <c r="L10" i="1"/>
  <c r="K10" i="1"/>
  <c r="K14" i="1" l="1"/>
  <c r="L13" i="1"/>
  <c r="K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E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E13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all PositionValue (column O) where AssetClass (column D) = "STK"
</t>
        </r>
        <r>
          <rPr>
            <sz val="11"/>
            <color rgb="FF000000"/>
            <rFont val="Calibri"/>
            <family val="2"/>
          </rPr>
          <t xml:space="preserve">Subtracts positions matching tickers in GrowthEngine column A
</t>
        </r>
        <r>
          <rPr>
            <sz val="11"/>
            <color rgb="FF000000"/>
            <rFont val="Calibri"/>
            <family val="2"/>
          </rPr>
          <t xml:space="preserve">Subtracts positions matching tickers in IncomeStrategy column A
</t>
        </r>
        <r>
          <rPr>
            <sz val="11"/>
            <color rgb="FF000000"/>
            <rFont val="Calibri"/>
            <family val="2"/>
          </rPr>
          <t>Result: Total value of STK positions excluding those in your GrowthEngine and IncomeStrategy lists.</t>
        </r>
      </text>
    </comment>
    <comment ref="E14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PositionValue (column O) where AssetClass (column D) = "OPT" AND PositionValue &gt; 0
</t>
        </r>
        <r>
          <rPr>
            <sz val="11"/>
            <color rgb="FF000000"/>
            <rFont val="Calibri"/>
            <family val="2"/>
          </rPr>
          <t>Adds sums of PositionValue where AssetClass = "FOP" AND PositionValue &gt; 0</t>
        </r>
      </text>
    </comment>
    <comment ref="E15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>This sums PositionValue (column O) where SubCategory (column E) is "ETF" AND Symbol (column F) is either "BITO" or "GSD".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<sst xmlns="http://schemas.openxmlformats.org/spreadsheetml/2006/main" count="246" uniqueCount="190">
  <si>
    <t>HK</t>
  </si>
  <si>
    <t>AL</t>
  </si>
  <si>
    <t>TOTAL</t>
  </si>
  <si>
    <t>Category</t>
  </si>
  <si>
    <t>Percent</t>
  </si>
  <si>
    <t>Target</t>
  </si>
  <si>
    <t>Actual HK</t>
  </si>
  <si>
    <t xml:space="preserve">Actual % HK </t>
  </si>
  <si>
    <t>Actual AL</t>
  </si>
  <si>
    <t>Actual % AL</t>
  </si>
  <si>
    <t>Actual Total</t>
  </si>
  <si>
    <t>Actual %</t>
  </si>
  <si>
    <t>Delta</t>
  </si>
  <si>
    <t>Remarks</t>
  </si>
  <si>
    <t>Global ETF</t>
  </si>
  <si>
    <t>Includes $56K DHL + stability</t>
  </si>
  <si>
    <t>Growth Engine (The five horseman)</t>
  </si>
  <si>
    <t>Growth engine</t>
  </si>
  <si>
    <t>Digital (CSNDX)</t>
  </si>
  <si>
    <t>Digital: 100 US Tech giants. Your core foundation.</t>
  </si>
  <si>
    <t>Manufacturing (CTEC)</t>
  </si>
  <si>
    <t>Manufacturing: 150+ China Hard Tech &amp; AI leaders.</t>
  </si>
  <si>
    <t>Biotic Z(HEAL)</t>
  </si>
  <si>
    <t>Biotic: Global Genomics &amp; Med-Tech Innovation.</t>
  </si>
  <si>
    <t>Security (LOCK)</t>
  </si>
  <si>
    <t>Security: Cyberdefense &amp; Data Infrastructure.</t>
  </si>
  <si>
    <t>Energy (INRA)</t>
  </si>
  <si>
    <t>Energy: Clean energy utilities powering AI data centers.</t>
  </si>
  <si>
    <t>Income Strategy</t>
  </si>
  <si>
    <t>Sniper Calls (theme, calls)</t>
  </si>
  <si>
    <t>Only high-conviction setups</t>
  </si>
  <si>
    <t>Theme Stocks</t>
  </si>
  <si>
    <t>Buy stocks I like Hermes, Luckin, etc. where options unavailable</t>
  </si>
  <si>
    <t>Call Options (Buy)</t>
  </si>
  <si>
    <t>Buy Call Options where possible on stocks I like</t>
  </si>
  <si>
    <t>Gold (GSD)</t>
  </si>
  <si>
    <t>Chaos</t>
  </si>
  <si>
    <t>Hedge Cash/Reserve</t>
  </si>
  <si>
    <t>Flexibility</t>
  </si>
  <si>
    <t>Ticker</t>
  </si>
  <si>
    <t>Weight</t>
  </si>
  <si>
    <t>Trading Currency</t>
  </si>
  <si>
    <t>Focus / Sector</t>
  </si>
  <si>
    <t>Exp. Ratio (TER)</t>
  </si>
  <si>
    <t>2026 Strategy Profile</t>
  </si>
  <si>
    <t>CNY</t>
  </si>
  <si>
    <t>China Blue-Chips</t>
  </si>
  <si>
    <t>The Value Hedge. Direct exposure to mainland Yuan &amp; economy.</t>
  </si>
  <si>
    <t>DHL</t>
  </si>
  <si>
    <t>EUR</t>
  </si>
  <si>
    <t>Logistics (Stock)</t>
  </si>
  <si>
    <t>None</t>
  </si>
  <si>
    <t>Physical Value. Industrial exposure with a strong Euro-yield.</t>
  </si>
  <si>
    <t>ES3</t>
  </si>
  <si>
    <t>SGD</t>
  </si>
  <si>
    <t>Singapore Index</t>
  </si>
  <si>
    <t>Income Anchor. Reliable ~3.7% yield in stable SGD.</t>
  </si>
  <si>
    <t>VWRA</t>
  </si>
  <si>
    <t>USD</t>
  </si>
  <si>
    <t>Global Core (Acc)</t>
  </si>
  <si>
    <t>USD Liquidity. Identical to VWCE; used for flexible USD entry.</t>
  </si>
  <si>
    <t>VWCE</t>
  </si>
  <si>
    <t>Primary Anchor. Captures world growth with a Euro-base.</t>
  </si>
  <si>
    <t>Primary Exchange</t>
  </si>
  <si>
    <t>Manager</t>
  </si>
  <si>
    <t>AUM (USD)</t>
  </si>
  <si>
    <t>Exp. Ratio</t>
  </si>
  <si>
    <t>2025 Return</t>
  </si>
  <si>
    <t>Top 1 Holding</t>
  </si>
  <si>
    <t>Strategy Profile</t>
  </si>
  <si>
    <t>Allocation</t>
  </si>
  <si>
    <t>CSNDX</t>
  </si>
  <si>
    <t>SIX (Swiss)</t>
  </si>
  <si>
    <t>iShares</t>
  </si>
  <si>
    <t>~$23.7 Billion</t>
  </si>
  <si>
    <t>NVIDIA</t>
  </si>
  <si>
    <t>CTEC</t>
  </si>
  <si>
    <t>~$2.4 Billion</t>
  </si>
  <si>
    <t>NetEase</t>
  </si>
  <si>
    <t>HEAL</t>
  </si>
  <si>
    <t>LSE</t>
  </si>
  <si>
    <t>~$1.1 Billion</t>
  </si>
  <si>
    <t>Illumina</t>
  </si>
  <si>
    <t>INRA</t>
  </si>
  <si>
    <t>AEB</t>
  </si>
  <si>
    <t>~$3.2 Billion</t>
  </si>
  <si>
    <t>Bloom Energy</t>
  </si>
  <si>
    <t>LOCK</t>
  </si>
  <si>
    <t>~$1.8 Billion</t>
  </si>
  <si>
    <t>Ciena Corp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</si>
  <si>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</si>
  <si>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</si>
  <si>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</si>
  <si>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</si>
  <si>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</si>
  <si>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</si>
  <si>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</si>
  <si>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</si>
  <si>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</si>
  <si>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</si>
  <si>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</si>
  <si>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</si>
  <si>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</si>
  <si>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</si>
  <si>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</si>
  <si>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</si>
  <si>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AVGO</t>
  </si>
  <si>
    <t>CSP / Wheel</t>
  </si>
  <si>
    <t>High share price; strong dividends.</t>
  </si>
  <si>
    <t>Large nominal premium; high-quality semiconductor growth exposure.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</si>
  <si>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</si>
  <si>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</si>
  <si>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</si>
  <si>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</si>
  <si>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</si>
  <si>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</si>
  <si>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</si>
  <si>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</si>
  <si>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</si>
  <si>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</si>
  <si>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</si>
  <si>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</si>
  <si>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</si>
  <si>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</si>
  <si>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</si>
  <si>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</si>
  <si>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</si>
  <si>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</si>
  <si>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</si>
  <si>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</si>
  <si>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</si>
  <si>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</si>
  <si>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</si>
  <si>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</si>
  <si>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</si>
  <si>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</si>
  <si>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</si>
  <si>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</si>
  <si>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</si>
  <si>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</si>
  <si>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</si>
  <si>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</si>
  <si>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</si>
  <si>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</si>
  <si>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</si>
  <si>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</si>
  <si>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</si>
  <si>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</si>
  <si>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</si>
  <si>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</si>
  <si>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</si>
  <si>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</si>
  <si>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</si>
  <si>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</si>
  <si>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</si>
  <si>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</si>
  <si>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</si>
  <si>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</si>
  <si>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</si>
  <si>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</si>
  <si>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</si>
  <si>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</si>
  <si>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</si>
  <si>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</si>
  <si>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</si>
  <si>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</si>
  <si>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</si>
  <si>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</si>
  <si>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</si>
  <si>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</si>
  <si>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</si>
  <si>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</si>
  <si>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</si>
  <si>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</si>
  <si>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</si>
  <si>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</si>
  <si>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</si>
  <si>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</si>
  <si>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</si>
  <si>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</si>
  <si>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</si>
  <si>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</si>
  <si>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</si>
  <si>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</si>
  <si>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</si>
  <si>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</si>
  <si>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 xml:space="preserve">todo </t>
  </si>
  <si>
    <t>get cash amt</t>
  </si>
  <si>
    <t>fix income strategy to only a few mag7 stocks for harvesting premiums so I can filter for it</t>
  </si>
  <si>
    <t>update github 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</si>
</sst>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8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80">
    <xf numFmtId="0" fontId="0" fillId="0" borderId="0" xfId="0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9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0" applyNumberFormat="1" applyFont="1"/>
    <xf numFmtId="0" fontId="2" fillId="0" borderId="2" xfId="0" applyFont="1" applyBorder="1"/>
    <xf numFmtId="0" fontId="5" fillId="0" borderId="2" xfId="0" applyFont="1" applyBorder="1"/>
    <xf numFmtId="0" fontId="3" fillId="0" borderId="0" xfId="0" applyFont="1"/>
    <xf numFmtId="0" fontId="7" fillId="0" borderId="0" xfId="0" applyFont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0" fontId="2" fillId="0" borderId="5" xfId="0" applyFont="1" applyBorder="1"/>
    <xf numFmtId="0" fontId="2" fillId="0" borderId="0" xfId="0" applyFont="1" applyBorder="1"/>
    <xf numFmtId="44" fontId="2" fillId="2" borderId="5" xfId="1" applyFont="1" applyFill="1" applyBorder="1"/>
    <xf numFmtId="44" fontId="2" fillId="0" borderId="0" xfId="1" applyFont="1" applyBorder="1"/>
    <xf numFmtId="0" fontId="3" fillId="0" borderId="4" xfId="0" applyFont="1" applyBorder="1"/>
    <xf numFmtId="0" fontId="2" fillId="0" borderId="6" xfId="0" applyFont="1" applyBorder="1"/>
    <xf numFmtId="44" fontId="2" fillId="0" borderId="6" xfId="1" applyFont="1" applyBorder="1"/>
    <xf numFmtId="0" fontId="3" fillId="0" borderId="7" xfId="0" applyFont="1" applyBorder="1"/>
    <xf numFmtId="9" fontId="2" fillId="0" borderId="5" xfId="2" applyFont="1" applyBorder="1"/>
    <xf numFmtId="164" fontId="6" fillId="0" borderId="5" xfId="2" applyNumberFormat="1" applyFont="1" applyBorder="1"/>
    <xf numFmtId="164" fontId="3" fillId="0" borderId="4" xfId="2" applyNumberFormat="1" applyFont="1" applyBorder="1"/>
    <xf numFmtId="44" fontId="6" fillId="0" borderId="6" xfId="1" applyFont="1" applyBorder="1"/>
    <xf numFmtId="44" fontId="6" fillId="0" borderId="5" xfId="1" applyFont="1" applyBorder="1"/>
    <xf numFmtId="44" fontId="6" fillId="0" borderId="0" xfId="1" applyFont="1" applyBorder="1"/>
    <xf numFmtId="9" fontId="6" fillId="0" borderId="6" xfId="2" applyFont="1" applyBorder="1"/>
    <xf numFmtId="44" fontId="6" fillId="0" borderId="5" xfId="0" applyNumberFormat="1" applyFont="1" applyBorder="1"/>
    <xf numFmtId="9" fontId="6" fillId="0" borderId="0" xfId="2" applyFont="1" applyBorder="1"/>
    <xf numFmtId="0" fontId="6" fillId="0" borderId="0" xfId="0" applyFont="1"/>
    <xf numFmtId="164" fontId="9" fillId="0" borderId="5" xfId="2" applyNumberFormat="1" applyFont="1" applyBorder="1"/>
    <xf numFmtId="44" fontId="9" fillId="0" borderId="6" xfId="1" applyFont="1" applyBorder="1"/>
    <xf numFmtId="44" fontId="9" fillId="0" borderId="5" xfId="1" applyFont="1" applyBorder="1"/>
    <xf numFmtId="44" fontId="9" fillId="0" borderId="0" xfId="1" applyFont="1" applyBorder="1"/>
    <xf numFmtId="9" fontId="9" fillId="0" borderId="6" xfId="2" applyFont="1" applyBorder="1"/>
    <xf numFmtId="44" fontId="9" fillId="0" borderId="5" xfId="0" applyNumberFormat="1" applyFont="1" applyBorder="1"/>
    <xf numFmtId="9" fontId="9" fillId="0" borderId="0" xfId="2" applyFont="1" applyBorder="1"/>
    <xf numFmtId="0" fontId="9" fillId="0" borderId="0" xfId="0" applyFont="1"/>
    <xf numFmtId="44" fontId="3" fillId="0" borderId="7" xfId="1" applyFont="1" applyBorder="1"/>
    <xf numFmtId="44" fontId="3" fillId="0" borderId="4" xfId="1" applyFont="1" applyBorder="1"/>
    <xf numFmtId="44" fontId="10" fillId="2" borderId="1" xfId="1" applyFont="1" applyFill="1" applyBorder="1"/>
    <xf numFmtId="9" fontId="3" fillId="0" borderId="7" xfId="2" applyFont="1" applyBorder="1"/>
    <xf numFmtId="44" fontId="3" fillId="0" borderId="4" xfId="0" applyNumberFormat="1" applyFont="1" applyBorder="1"/>
    <xf numFmtId="9" fontId="3" fillId="0" borderId="1" xfId="2" applyFont="1" applyBorder="1"/>
    <xf numFmtId="0" fontId="3" fillId="0" borderId="9" xfId="0" applyFont="1" applyBorder="1"/>
    <xf numFmtId="164" fontId="3" fillId="0" borderId="10" xfId="2" applyNumberFormat="1" applyFont="1" applyBorder="1"/>
    <xf numFmtId="44" fontId="3" fillId="0" borderId="8" xfId="1" applyFont="1" applyBorder="1"/>
    <xf numFmtId="44" fontId="3" fillId="0" borderId="10" xfId="1" applyFont="1" applyBorder="1"/>
    <xf numFmtId="44" fontId="3" fillId="0" borderId="9" xfId="1" applyFont="1" applyBorder="1"/>
    <xf numFmtId="9" fontId="3" fillId="0" borderId="8" xfId="2" applyFont="1" applyBorder="1"/>
    <xf numFmtId="44" fontId="3" fillId="0" borderId="10" xfId="0" applyNumberFormat="1" applyFont="1" applyBorder="1"/>
    <xf numFmtId="9" fontId="3" fillId="0" borderId="9" xfId="2" applyFont="1" applyBorder="1"/>
    <xf numFmtId="0" fontId="3" fillId="0" borderId="3" xfId="0" applyFont="1" applyBorder="1"/>
    <xf numFmtId="164" fontId="3" fillId="0" borderId="11" xfId="2" applyNumberFormat="1" applyFont="1" applyBorder="1"/>
    <xf numFmtId="44" fontId="3" fillId="0" borderId="12" xfId="1" applyFont="1" applyBorder="1"/>
    <xf numFmtId="44" fontId="3" fillId="0" borderId="11" xfId="1" applyFont="1" applyBorder="1"/>
    <xf numFmtId="44" fontId="3" fillId="0" borderId="3" xfId="1" applyFont="1" applyFill="1" applyBorder="1"/>
    <xf numFmtId="9" fontId="3" fillId="0" borderId="12" xfId="2" applyFont="1" applyFill="1" applyBorder="1"/>
    <xf numFmtId="44" fontId="3" fillId="0" borderId="11" xfId="1" applyFont="1" applyFill="1" applyBorder="1"/>
    <xf numFmtId="44" fontId="3" fillId="0" borderId="11" xfId="0" applyNumberFormat="1" applyFont="1" applyFill="1" applyBorder="1"/>
    <xf numFmtId="9" fontId="3" fillId="0" borderId="3" xfId="2" applyFont="1" applyFill="1" applyBorder="1"/>
    <xf numFmtId="0" fontId="6" fillId="0" borderId="0" xfId="0" applyFont="1" applyBorder="1" applyAlignment="1">
      <alignment horizontal="left" indent="4"/>
    </xf>
    <xf numFmtId="0" fontId="6" fillId="0" borderId="1" xfId="0" applyFont="1" applyBorder="1" applyAlignment="1">
      <alignment horizontal="left" indent="4"/>
    </xf>
    <xf numFmtId="164" fontId="9" fillId="0" borderId="4" xfId="2" applyNumberFormat="1" applyFont="1" applyBorder="1"/>
    <xf numFmtId="44" fontId="9" fillId="0" borderId="7" xfId="1" applyFont="1" applyBorder="1"/>
    <xf numFmtId="44" fontId="9" fillId="0" borderId="4" xfId="1" applyFont="1" applyBorder="1"/>
    <xf numFmtId="44" fontId="9" fillId="0" borderId="1" xfId="1" applyFont="1" applyBorder="1"/>
    <xf numFmtId="9" fontId="9" fillId="0" borderId="7" xfId="2" applyFont="1" applyBorder="1"/>
    <xf numFmtId="44" fontId="9" fillId="0" borderId="4" xfId="0" applyNumberFormat="1" applyFont="1" applyBorder="1"/>
    <xf numFmtId="9" fontId="9" fillId="0" borderId="1" xfId="2" applyFont="1" applyBorder="1"/>
    <xf numFmtId="164" fontId="6" fillId="0" borderId="4" xfId="2" applyNumberFormat="1" applyFont="1" applyBorder="1"/>
    <xf numFmtId="44" fontId="6" fillId="0" borderId="7" xfId="1" applyFont="1" applyBorder="1"/>
    <xf numFmtId="44" fontId="6" fillId="0" borderId="4" xfId="1" applyFont="1" applyBorder="1"/>
    <xf numFmtId="44" fontId="6" fillId="0" borderId="1" xfId="1" applyFont="1" applyBorder="1"/>
    <xf numFmtId="9" fontId="6" fillId="0" borderId="7" xfId="2" applyFont="1" applyBorder="1"/>
    <xf numFmtId="44" fontId="6" fillId="0" borderId="4" xfId="0" applyNumberFormat="1" applyFont="1" applyBorder="1"/>
    <xf numFmtId="9" fontId="6" fillId="0" borderId="1" xfId="2" applyFont="1" applyBorder="1"/>
  </cellXfs>
  <cellStyles count="3">
    <cellStyle name="Currency" xfId="1" builtinId="4"/>
    <cellStyle name="Normal" xfId="0" builtinId="0"/>
    <cellStyle name="Per cent" xfId="2" builtinId="5"/>
  </cellStyles>
  <dxfs count="62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sktop/timeless-workspace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U1" t="str">
            <v>PositionValueUSD</v>
          </cell>
        </row>
        <row r="2">
          <cell r="D2" t="str">
            <v>STK</v>
          </cell>
          <cell r="F2" t="str">
            <v>82846</v>
          </cell>
          <cell r="T2" t="str">
            <v>Long</v>
          </cell>
          <cell r="U2">
            <v>4561.3833999999997</v>
          </cell>
        </row>
        <row r="3">
          <cell r="D3" t="str">
            <v>STK</v>
          </cell>
          <cell r="F3" t="str">
            <v>MC</v>
          </cell>
          <cell r="T3" t="str">
            <v>Long</v>
          </cell>
          <cell r="U3">
            <v>7066.1107999999986</v>
          </cell>
        </row>
        <row r="4">
          <cell r="D4" t="str">
            <v>STK</v>
          </cell>
          <cell r="F4" t="str">
            <v>RMS</v>
          </cell>
          <cell r="T4" t="str">
            <v>Long</v>
          </cell>
          <cell r="U4">
            <v>7620.5429999999997</v>
          </cell>
        </row>
        <row r="5">
          <cell r="D5" t="str">
            <v>STK</v>
          </cell>
          <cell r="F5" t="str">
            <v>ES3</v>
          </cell>
          <cell r="T5" t="str">
            <v>Long</v>
          </cell>
          <cell r="U5">
            <v>19111.586650000001</v>
          </cell>
        </row>
        <row r="6">
          <cell r="D6" t="str">
            <v>STK</v>
          </cell>
          <cell r="F6" t="str">
            <v>GSD</v>
          </cell>
          <cell r="T6" t="str">
            <v>Long</v>
          </cell>
          <cell r="U6">
            <v>21157.732775</v>
          </cell>
        </row>
        <row r="7">
          <cell r="D7" t="str">
            <v>STK</v>
          </cell>
          <cell r="F7" t="str">
            <v>AMZN</v>
          </cell>
          <cell r="T7" t="str">
            <v>Long</v>
          </cell>
          <cell r="U7">
            <v>23912</v>
          </cell>
        </row>
        <row r="8">
          <cell r="D8" t="str">
            <v>STK</v>
          </cell>
          <cell r="F8" t="str">
            <v>BITO</v>
          </cell>
          <cell r="T8" t="str">
            <v>Long</v>
          </cell>
          <cell r="U8">
            <v>1326</v>
          </cell>
        </row>
        <row r="9">
          <cell r="D9" t="str">
            <v>STK</v>
          </cell>
          <cell r="F9" t="str">
            <v>CELH</v>
          </cell>
          <cell r="T9" t="str">
            <v>Long</v>
          </cell>
          <cell r="U9">
            <v>2719.5</v>
          </cell>
        </row>
        <row r="10">
          <cell r="D10" t="str">
            <v>STK</v>
          </cell>
          <cell r="F10" t="str">
            <v>CHA</v>
          </cell>
          <cell r="T10" t="str">
            <v>Long</v>
          </cell>
          <cell r="U10">
            <v>1209</v>
          </cell>
        </row>
        <row r="11">
          <cell r="D11" t="str">
            <v>STK</v>
          </cell>
          <cell r="F11" t="str">
            <v>CSNDX</v>
          </cell>
          <cell r="T11" t="str">
            <v>Long</v>
          </cell>
          <cell r="U11">
            <v>14680</v>
          </cell>
        </row>
        <row r="12">
          <cell r="D12" t="str">
            <v>STK</v>
          </cell>
          <cell r="F12" t="str">
            <v>CTEC</v>
          </cell>
          <cell r="T12" t="str">
            <v>Long</v>
          </cell>
          <cell r="U12">
            <v>10946</v>
          </cell>
        </row>
        <row r="13">
          <cell r="D13" t="str">
            <v>STK</v>
          </cell>
          <cell r="F13" t="str">
            <v>GOOGL</v>
          </cell>
          <cell r="T13" t="str">
            <v>Long</v>
          </cell>
          <cell r="U13">
            <v>33000</v>
          </cell>
        </row>
        <row r="14">
          <cell r="D14" t="str">
            <v>STK</v>
          </cell>
          <cell r="F14" t="str">
            <v>GRAB</v>
          </cell>
          <cell r="T14" t="str">
            <v>Long</v>
          </cell>
          <cell r="U14">
            <v>2190</v>
          </cell>
        </row>
        <row r="15">
          <cell r="D15" t="str">
            <v>STK</v>
          </cell>
          <cell r="F15" t="str">
            <v>HEAL</v>
          </cell>
          <cell r="T15" t="str">
            <v>Long</v>
          </cell>
          <cell r="U15">
            <v>9420</v>
          </cell>
        </row>
        <row r="16">
          <cell r="D16" t="str">
            <v>STK</v>
          </cell>
          <cell r="F16" t="str">
            <v>INRA</v>
          </cell>
          <cell r="T16" t="str">
            <v>Long</v>
          </cell>
          <cell r="U16">
            <v>10051.120000000001</v>
          </cell>
        </row>
        <row r="17">
          <cell r="D17" t="str">
            <v>STK</v>
          </cell>
          <cell r="F17" t="str">
            <v>LKNCY</v>
          </cell>
          <cell r="T17" t="str">
            <v>Long</v>
          </cell>
          <cell r="U17">
            <v>1697.5</v>
          </cell>
        </row>
        <row r="18">
          <cell r="D18" t="str">
            <v>STK</v>
          </cell>
          <cell r="F18" t="str">
            <v>LOCK</v>
          </cell>
          <cell r="T18" t="str">
            <v>Long</v>
          </cell>
          <cell r="U18">
            <v>10127</v>
          </cell>
        </row>
        <row r="19">
          <cell r="D19" t="str">
            <v>STK</v>
          </cell>
          <cell r="F19" t="str">
            <v>LULU</v>
          </cell>
          <cell r="T19" t="str">
            <v>Long</v>
          </cell>
          <cell r="U19">
            <v>8074.8</v>
          </cell>
        </row>
        <row r="20">
          <cell r="D20" t="str">
            <v>STK</v>
          </cell>
          <cell r="F20" t="str">
            <v>MELI</v>
          </cell>
          <cell r="T20" t="str">
            <v>Long</v>
          </cell>
          <cell r="U20">
            <v>2075.0100000000002</v>
          </cell>
        </row>
        <row r="21">
          <cell r="D21" t="str">
            <v>STK</v>
          </cell>
          <cell r="F21" t="str">
            <v>NVDA</v>
          </cell>
          <cell r="T21" t="str">
            <v>Long</v>
          </cell>
          <cell r="U21">
            <v>37246</v>
          </cell>
        </row>
        <row r="22">
          <cell r="D22" t="str">
            <v>STK</v>
          </cell>
          <cell r="F22" t="str">
            <v>ORCL</v>
          </cell>
          <cell r="T22" t="str">
            <v>Long</v>
          </cell>
          <cell r="U22">
            <v>19109</v>
          </cell>
        </row>
        <row r="23">
          <cell r="D23" t="str">
            <v>STK</v>
          </cell>
          <cell r="F23" t="str">
            <v>SE</v>
          </cell>
          <cell r="T23" t="str">
            <v>Long</v>
          </cell>
          <cell r="U23">
            <v>1214.2</v>
          </cell>
        </row>
        <row r="24">
          <cell r="D24" t="str">
            <v>STK</v>
          </cell>
          <cell r="F24" t="str">
            <v>VWRA</v>
          </cell>
          <cell r="T24" t="str">
            <v>Long</v>
          </cell>
          <cell r="U24">
            <v>104304</v>
          </cell>
        </row>
        <row r="25">
          <cell r="D25" t="str">
            <v>FOP</v>
          </cell>
          <cell r="F25" t="str">
            <v>EW2G6 P6525</v>
          </cell>
          <cell r="T25" t="str">
            <v>Long</v>
          </cell>
          <cell r="U25">
            <v>1900</v>
          </cell>
        </row>
        <row r="26">
          <cell r="D26" t="str">
            <v>FOP</v>
          </cell>
          <cell r="F26" t="str">
            <v>EW2G6 C7300</v>
          </cell>
          <cell r="T26" t="str">
            <v>Long</v>
          </cell>
          <cell r="U26">
            <v>350</v>
          </cell>
        </row>
        <row r="27">
          <cell r="D27" t="str">
            <v>OPT</v>
          </cell>
          <cell r="F27" t="str">
            <v>AAPL  260130P00250000</v>
          </cell>
          <cell r="T27" t="str">
            <v>Short</v>
          </cell>
          <cell r="U27">
            <v>-355</v>
          </cell>
        </row>
        <row r="28">
          <cell r="D28" t="str">
            <v>OPT</v>
          </cell>
          <cell r="F28" t="str">
            <v>AMZN  260220P00215000</v>
          </cell>
          <cell r="T28" t="str">
            <v>Short</v>
          </cell>
          <cell r="U28">
            <v>-271.5</v>
          </cell>
        </row>
        <row r="29">
          <cell r="D29" t="str">
            <v>OPT</v>
          </cell>
          <cell r="F29" t="str">
            <v>AMZN  260227C00255000</v>
          </cell>
          <cell r="T29" t="str">
            <v>Short</v>
          </cell>
          <cell r="U29">
            <v>-550</v>
          </cell>
        </row>
        <row r="30">
          <cell r="D30" t="str">
            <v>OPT</v>
          </cell>
          <cell r="F30" t="str">
            <v>GOOGL 260227P00310000</v>
          </cell>
          <cell r="T30" t="str">
            <v>Short</v>
          </cell>
          <cell r="U30">
            <v>-697.5</v>
          </cell>
        </row>
        <row r="31">
          <cell r="D31" t="str">
            <v>OPT</v>
          </cell>
          <cell r="F31" t="str">
            <v>GOOGL 260227C00370000</v>
          </cell>
          <cell r="T31" t="str">
            <v>Short</v>
          </cell>
          <cell r="U31">
            <v>-365</v>
          </cell>
        </row>
        <row r="32">
          <cell r="D32" t="str">
            <v>OPT</v>
          </cell>
          <cell r="F32" t="str">
            <v>JPM   260206P00300000</v>
          </cell>
          <cell r="T32" t="str">
            <v>Short</v>
          </cell>
          <cell r="U32">
            <v>-218.5</v>
          </cell>
        </row>
        <row r="33">
          <cell r="D33" t="str">
            <v>OPT</v>
          </cell>
          <cell r="F33" t="str">
            <v>NVDA  260130C00195000</v>
          </cell>
          <cell r="T33" t="str">
            <v>Short</v>
          </cell>
          <cell r="U33">
            <v>-356</v>
          </cell>
        </row>
        <row r="34">
          <cell r="D34" t="str">
            <v>OPT</v>
          </cell>
          <cell r="F34" t="str">
            <v>ORCL  260123C00195000</v>
          </cell>
          <cell r="T34" t="str">
            <v>Short</v>
          </cell>
          <cell r="U34">
            <v>-275.5</v>
          </cell>
        </row>
        <row r="35">
          <cell r="D35" t="str">
            <v>FOP</v>
          </cell>
          <cell r="F35" t="str">
            <v>EW2G6 P6625</v>
          </cell>
          <cell r="T35" t="str">
            <v>Short</v>
          </cell>
          <cell r="U35">
            <v>-2625</v>
          </cell>
        </row>
        <row r="36">
          <cell r="D36" t="str">
            <v>FOP</v>
          </cell>
          <cell r="F36" t="str">
            <v>EW2G6 C7200</v>
          </cell>
          <cell r="T36" t="str">
            <v>Short</v>
          </cell>
          <cell r="U36">
            <v>-1225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T1" t="str">
            <v>Side</v>
          </cell>
          <cell r="U1" t="str">
            <v>PositionValueUSD</v>
          </cell>
        </row>
        <row r="2">
          <cell r="D2" t="str">
            <v>STK</v>
          </cell>
          <cell r="F2" t="str">
            <v>DHL</v>
          </cell>
          <cell r="T2" t="str">
            <v>Long</v>
          </cell>
          <cell r="U2">
            <v>55466.417999999998</v>
          </cell>
        </row>
        <row r="3">
          <cell r="D3" t="str">
            <v>STK</v>
          </cell>
          <cell r="F3" t="str">
            <v>MC</v>
          </cell>
          <cell r="T3" t="str">
            <v>Long</v>
          </cell>
          <cell r="U3">
            <v>7066.1107999999986</v>
          </cell>
        </row>
        <row r="4">
          <cell r="D4" t="str">
            <v>STK</v>
          </cell>
          <cell r="F4" t="str">
            <v>RMS</v>
          </cell>
          <cell r="T4" t="str">
            <v>Long</v>
          </cell>
          <cell r="U4">
            <v>7620.5429999999997</v>
          </cell>
        </row>
        <row r="5">
          <cell r="D5" t="str">
            <v>STK</v>
          </cell>
          <cell r="F5" t="str">
            <v>VWCE</v>
          </cell>
          <cell r="T5" t="str">
            <v>Long</v>
          </cell>
          <cell r="U5">
            <v>69547.603999999992</v>
          </cell>
        </row>
        <row r="6">
          <cell r="D6" t="str">
            <v>STK</v>
          </cell>
          <cell r="F6" t="str">
            <v>ES3</v>
          </cell>
          <cell r="T6" t="str">
            <v>Long</v>
          </cell>
          <cell r="U6">
            <v>38223.173300000002</v>
          </cell>
        </row>
        <row r="7">
          <cell r="D7" t="str">
            <v>STK</v>
          </cell>
          <cell r="F7" t="str">
            <v>GSD</v>
          </cell>
          <cell r="T7" t="str">
            <v>Long</v>
          </cell>
          <cell r="U7">
            <v>4231.5465549999999</v>
          </cell>
        </row>
        <row r="8">
          <cell r="D8" t="str">
            <v>STK</v>
          </cell>
          <cell r="F8" t="str">
            <v>BITO</v>
          </cell>
          <cell r="T8" t="str">
            <v>Long</v>
          </cell>
          <cell r="U8">
            <v>2652</v>
          </cell>
        </row>
        <row r="9">
          <cell r="D9" t="str">
            <v>STK</v>
          </cell>
          <cell r="F9" t="str">
            <v>CSNDX</v>
          </cell>
          <cell r="T9" t="str">
            <v>Long</v>
          </cell>
          <cell r="U9">
            <v>22020</v>
          </cell>
        </row>
        <row r="10">
          <cell r="D10" t="str">
            <v>STK</v>
          </cell>
          <cell r="F10" t="str">
            <v>CTEC</v>
          </cell>
          <cell r="T10" t="str">
            <v>Long</v>
          </cell>
          <cell r="U10">
            <v>16419</v>
          </cell>
        </row>
        <row r="11">
          <cell r="D11" t="str">
            <v>STK</v>
          </cell>
          <cell r="F11" t="str">
            <v>HEAL</v>
          </cell>
          <cell r="T11" t="str">
            <v>Long</v>
          </cell>
          <cell r="U11">
            <v>9420</v>
          </cell>
        </row>
        <row r="12">
          <cell r="D12" t="str">
            <v>STK</v>
          </cell>
          <cell r="F12" t="str">
            <v>IBKR</v>
          </cell>
          <cell r="T12" t="str">
            <v>Long</v>
          </cell>
          <cell r="U12">
            <v>1235.73</v>
          </cell>
        </row>
        <row r="13">
          <cell r="D13" t="str">
            <v>STK</v>
          </cell>
          <cell r="F13" t="str">
            <v>INRA</v>
          </cell>
          <cell r="T13" t="str">
            <v>Long</v>
          </cell>
          <cell r="U13">
            <v>10051.120000000001</v>
          </cell>
        </row>
        <row r="14">
          <cell r="D14" t="str">
            <v>STK</v>
          </cell>
          <cell r="F14" t="str">
            <v>JPM</v>
          </cell>
          <cell r="T14" t="str">
            <v>Long</v>
          </cell>
          <cell r="U14">
            <v>31247</v>
          </cell>
        </row>
        <row r="15">
          <cell r="D15" t="str">
            <v>STK</v>
          </cell>
          <cell r="F15" t="str">
            <v>LOCK</v>
          </cell>
          <cell r="T15" t="str">
            <v>Long</v>
          </cell>
          <cell r="U15">
            <v>10127</v>
          </cell>
        </row>
        <row r="16">
          <cell r="D16" t="str">
            <v>STK</v>
          </cell>
          <cell r="F16" t="str">
            <v>VWRA</v>
          </cell>
          <cell r="T16" t="str">
            <v>Long</v>
          </cell>
          <cell r="U16">
            <v>139072</v>
          </cell>
        </row>
        <row r="17">
          <cell r="D17" t="str">
            <v>OPT</v>
          </cell>
          <cell r="F17" t="str">
            <v>AAPL  260130P00250000</v>
          </cell>
          <cell r="T17" t="str">
            <v>Short</v>
          </cell>
          <cell r="U17">
            <v>-355</v>
          </cell>
        </row>
        <row r="18">
          <cell r="D18" t="str">
            <v>OPT</v>
          </cell>
          <cell r="F18" t="str">
            <v>GOOGL 260130P00310000</v>
          </cell>
          <cell r="T18" t="str">
            <v>Short</v>
          </cell>
          <cell r="U18">
            <v>-136</v>
          </cell>
        </row>
        <row r="19">
          <cell r="D19" t="str">
            <v>OPT</v>
          </cell>
          <cell r="F19" t="str">
            <v>JPM   260130C00325000</v>
          </cell>
          <cell r="T19" t="str">
            <v>Short</v>
          </cell>
          <cell r="U19">
            <v>-112</v>
          </cell>
        </row>
        <row r="20">
          <cell r="D20" t="str">
            <v>OPT</v>
          </cell>
          <cell r="F20" t="str">
            <v>QQQ   260130P00608000</v>
          </cell>
          <cell r="T20" t="str">
            <v>Short</v>
          </cell>
          <cell r="U20">
            <v>-405.5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showGridLines="0" tabSelected="1" workbookViewId="0">
      <selection activeCell="I21" sqref="I21"/>
    </sheetView>
  </sheetViews>
  <sheetFormatPr baseColWidth="10" defaultColWidth="38.6640625" defaultRowHeight="16" x14ac:dyDescent="0.2"/>
  <cols>
    <col min="1" max="1" width="40.5" style="1" bestFit="1" customWidth="1"/>
    <col min="2" max="2" width="13.1640625" style="1" bestFit="1" customWidth="1"/>
    <col min="3" max="3" width="27" style="1" bestFit="1" customWidth="1"/>
    <col min="4" max="5" width="23.5" style="1" bestFit="1" customWidth="1"/>
    <col min="6" max="6" width="15.1640625" style="1" bestFit="1" customWidth="1"/>
    <col min="7" max="8" width="23.5" style="1" bestFit="1" customWidth="1"/>
    <col min="9" max="9" width="14" style="1" bestFit="1" customWidth="1"/>
    <col min="10" max="10" width="23.5" style="1" bestFit="1" customWidth="1"/>
    <col min="11" max="11" width="14.83203125" style="1" bestFit="1" customWidth="1"/>
    <col min="12" max="12" width="23.5" style="1" bestFit="1" customWidth="1"/>
    <col min="13" max="13" width="77.83203125" style="1" bestFit="1" customWidth="1"/>
    <col min="14" max="14" width="38.6640625" style="1" customWidth="1"/>
    <col min="15" max="16384" width="38.6640625" style="1"/>
  </cols>
  <sheetData>
    <row r="1" spans="1:13" x14ac:dyDescent="0.2">
      <c r="B1" s="15"/>
      <c r="C1" s="20"/>
      <c r="D1" s="15" t="s">
        <v>0</v>
      </c>
      <c r="E1" s="16"/>
      <c r="F1" s="20"/>
      <c r="G1" s="15" t="s">
        <v>1</v>
      </c>
      <c r="H1" s="16"/>
      <c r="I1" s="20"/>
      <c r="J1" s="15"/>
      <c r="K1" s="16"/>
      <c r="L1" s="20"/>
    </row>
    <row r="2" spans="1:13" x14ac:dyDescent="0.2">
      <c r="A2" s="1" t="s">
        <v>2</v>
      </c>
      <c r="B2" s="23">
        <v>1</v>
      </c>
      <c r="C2" s="21">
        <f>D2+G2</f>
        <v>997577</v>
      </c>
      <c r="D2" s="17">
        <v>444722</v>
      </c>
      <c r="E2" s="18"/>
      <c r="F2" s="21"/>
      <c r="G2" s="17">
        <v>552855</v>
      </c>
      <c r="H2" s="18"/>
      <c r="I2" s="21"/>
      <c r="J2" s="15"/>
      <c r="K2" s="16"/>
      <c r="L2" s="20"/>
    </row>
    <row r="3" spans="1:13" x14ac:dyDescent="0.2">
      <c r="A3" s="2" t="s">
        <v>3</v>
      </c>
      <c r="B3" s="19" t="s">
        <v>4</v>
      </c>
      <c r="C3" s="22" t="s">
        <v>5</v>
      </c>
      <c r="D3" s="19" t="s">
        <v>5</v>
      </c>
      <c r="E3" s="2" t="s">
        <v>6</v>
      </c>
      <c r="F3" s="22" t="s">
        <v>7</v>
      </c>
      <c r="G3" s="19" t="s">
        <v>5</v>
      </c>
      <c r="H3" s="2" t="s">
        <v>8</v>
      </c>
      <c r="I3" s="22" t="s">
        <v>9</v>
      </c>
      <c r="J3" s="19" t="s">
        <v>10</v>
      </c>
      <c r="K3" s="2" t="s">
        <v>11</v>
      </c>
      <c r="L3" s="22" t="s">
        <v>12</v>
      </c>
      <c r="M3" s="2" t="s">
        <v>13</v>
      </c>
    </row>
    <row r="4" spans="1:13" x14ac:dyDescent="0.2">
      <c r="A4" s="47" t="s">
        <v>14</v>
      </c>
      <c r="B4" s="48">
        <v>0.3</v>
      </c>
      <c r="C4" s="49">
        <f>$C$2*B4</f>
        <v>299273.09999999998</v>
      </c>
      <c r="D4" s="50">
        <f>$D$2*B4</f>
        <v>133416.6</v>
      </c>
      <c r="E4" s="51" cm="1">
        <f t="array" ref="E4">SUMPRODUCT(SUMIFS([1]PositionsHK!U:U,[1]PositionsHK!F:F,GlobalETF!A:A))</f>
        <v>127976.97005</v>
      </c>
      <c r="F4" s="52">
        <f>E4/D4</f>
        <v>0.95922823734078067</v>
      </c>
      <c r="G4" s="50">
        <f>$G$2*B4</f>
        <v>165856.5</v>
      </c>
      <c r="H4" s="51" cm="1">
        <f t="array" ref="H4">SUMPRODUCT(SUMIFS([1]PositionsAL!U:U,[1]PositionsAL!F:F,GlobalETF!A:A))</f>
        <v>302309.19530000002</v>
      </c>
      <c r="I4" s="52">
        <f>H4/G4</f>
        <v>1.822715391317193</v>
      </c>
      <c r="J4" s="53">
        <f t="shared" ref="J4:J16" si="0">E4+H4</f>
        <v>430286.16535000002</v>
      </c>
      <c r="K4" s="54">
        <f t="shared" ref="K4:K16" si="1">J4/C4</f>
        <v>1.4377709368132321</v>
      </c>
      <c r="L4" s="49">
        <f t="shared" ref="L4:L16" si="2">J4-C4</f>
        <v>131013.06535000005</v>
      </c>
      <c r="M4" s="1" t="s">
        <v>15</v>
      </c>
    </row>
    <row r="5" spans="1:13" x14ac:dyDescent="0.2">
      <c r="A5" s="55" t="s">
        <v>16</v>
      </c>
      <c r="B5" s="56">
        <v>0.3</v>
      </c>
      <c r="C5" s="57">
        <f>$C$2*B5</f>
        <v>299273.09999999998</v>
      </c>
      <c r="D5" s="58">
        <f>$D$2*B5</f>
        <v>133416.6</v>
      </c>
      <c r="E5" s="59">
        <f>E6+E7+E8+E9+E10</f>
        <v>55224.12</v>
      </c>
      <c r="F5" s="60">
        <f>E5/D5</f>
        <v>0.41392240545779163</v>
      </c>
      <c r="G5" s="61">
        <f>$G$2*B5</f>
        <v>165856.5</v>
      </c>
      <c r="H5" s="59">
        <f>H6+H7+H8+H9+H10</f>
        <v>68037.119999999995</v>
      </c>
      <c r="I5" s="60">
        <f>H5/G5</f>
        <v>0.41021678378598364</v>
      </c>
      <c r="J5" s="62">
        <f>E5+H5</f>
        <v>123261.23999999999</v>
      </c>
      <c r="K5" s="63"/>
      <c r="L5" s="57">
        <f t="shared" si="2"/>
        <v>-176011.86</v>
      </c>
      <c r="M5" s="1" t="s">
        <v>17</v>
      </c>
    </row>
    <row r="6" spans="1:13" x14ac:dyDescent="0.2">
      <c r="A6" s="64" t="s">
        <v>18</v>
      </c>
      <c r="B6" s="33">
        <v>0.3</v>
      </c>
      <c r="C6" s="34">
        <f>$C$5*B6</f>
        <v>89781.93</v>
      </c>
      <c r="D6" s="35">
        <f t="shared" ref="D6:D11" si="3">$D$5*B6</f>
        <v>40024.980000000003</v>
      </c>
      <c r="E6" s="36">
        <f>SUMIFS([1]PositionsHK!U:U,[1]PositionsHK!F:F,"CSNDX")</f>
        <v>14680</v>
      </c>
      <c r="F6" s="37">
        <f>E6/D6</f>
        <v>0.36677095154076278</v>
      </c>
      <c r="G6" s="35">
        <f t="shared" ref="G6:G11" si="4">$G$5*B6</f>
        <v>49756.95</v>
      </c>
      <c r="H6" s="36">
        <f>SUMIFS([1]PositionsAL!U:U,[1]PositionsAL!F:F,"CSNDX")</f>
        <v>22020</v>
      </c>
      <c r="I6" s="37">
        <f>H6/G6</f>
        <v>0.44255124158534642</v>
      </c>
      <c r="J6" s="38">
        <f t="shared" si="0"/>
        <v>36700</v>
      </c>
      <c r="K6" s="39">
        <f t="shared" si="1"/>
        <v>0.40876822318254913</v>
      </c>
      <c r="L6" s="34">
        <f t="shared" si="2"/>
        <v>-53081.929999999993</v>
      </c>
      <c r="M6" s="40" t="s">
        <v>19</v>
      </c>
    </row>
    <row r="7" spans="1:13" x14ac:dyDescent="0.2">
      <c r="A7" s="64" t="s">
        <v>20</v>
      </c>
      <c r="B7" s="33">
        <v>0.2</v>
      </c>
      <c r="C7" s="34">
        <f>$C$5*B7</f>
        <v>59854.619999999995</v>
      </c>
      <c r="D7" s="35">
        <f t="shared" si="3"/>
        <v>26683.320000000003</v>
      </c>
      <c r="E7" s="36">
        <f>SUMIFS([1]PositionsHK!U:U,[1]PositionsHK!F:F,"CTEC")</f>
        <v>10946</v>
      </c>
      <c r="F7" s="37">
        <f t="shared" ref="F7:F9" si="5">E7/D7</f>
        <v>0.41021881834794166</v>
      </c>
      <c r="G7" s="35">
        <f t="shared" si="4"/>
        <v>33171.300000000003</v>
      </c>
      <c r="H7" s="36">
        <f>SUMIFS([1]PositionsAL!U:U,[1]PositionsAL!F:F,"CTEC")</f>
        <v>16419</v>
      </c>
      <c r="I7" s="37">
        <f t="shared" ref="I7:I10" si="6">H7/G7</f>
        <v>0.49497607871865135</v>
      </c>
      <c r="J7" s="38">
        <f t="shared" si="0"/>
        <v>27365</v>
      </c>
      <c r="K7" s="39">
        <f t="shared" si="1"/>
        <v>0.45719110738653096</v>
      </c>
      <c r="L7" s="34">
        <f t="shared" si="2"/>
        <v>-32489.619999999995</v>
      </c>
      <c r="M7" s="40" t="s">
        <v>21</v>
      </c>
    </row>
    <row r="8" spans="1:13" x14ac:dyDescent="0.2">
      <c r="A8" s="64" t="s">
        <v>22</v>
      </c>
      <c r="B8" s="33">
        <v>0.15</v>
      </c>
      <c r="C8" s="34">
        <f>$C$5*B8</f>
        <v>44890.964999999997</v>
      </c>
      <c r="D8" s="35">
        <f t="shared" si="3"/>
        <v>20012.490000000002</v>
      </c>
      <c r="E8" s="36">
        <f>SUMIFS([1]PositionsHK!U:U,[1]PositionsHK!F:F,"HEAL")</f>
        <v>9420</v>
      </c>
      <c r="F8" s="37">
        <f t="shared" si="5"/>
        <v>0.47070604407547484</v>
      </c>
      <c r="G8" s="35">
        <f t="shared" si="4"/>
        <v>24878.474999999999</v>
      </c>
      <c r="H8" s="36">
        <f>SUMIFS([1]PositionsAL!U:U,[1]PositionsAL!F:F,"HEAL")</f>
        <v>9420</v>
      </c>
      <c r="I8" s="37">
        <f t="shared" si="6"/>
        <v>0.37864057181961519</v>
      </c>
      <c r="J8" s="38">
        <f t="shared" si="0"/>
        <v>18840</v>
      </c>
      <c r="K8" s="39">
        <f t="shared" si="1"/>
        <v>0.41968355993238288</v>
      </c>
      <c r="L8" s="34">
        <f t="shared" si="2"/>
        <v>-26050.964999999997</v>
      </c>
      <c r="M8" s="40" t="s">
        <v>23</v>
      </c>
    </row>
    <row r="9" spans="1:13" x14ac:dyDescent="0.2">
      <c r="A9" s="64" t="s">
        <v>24</v>
      </c>
      <c r="B9" s="33">
        <v>0.15</v>
      </c>
      <c r="C9" s="34">
        <f>$C$5*B9</f>
        <v>44890.964999999997</v>
      </c>
      <c r="D9" s="35">
        <f t="shared" si="3"/>
        <v>20012.490000000002</v>
      </c>
      <c r="E9" s="36">
        <f>SUMIFS([1]PositionsHK!U:U,[1]PositionsHK!F:F,"LOCK")</f>
        <v>10127</v>
      </c>
      <c r="F9" s="37">
        <f t="shared" si="5"/>
        <v>0.50603398177837933</v>
      </c>
      <c r="G9" s="35">
        <f t="shared" si="4"/>
        <v>24878.474999999999</v>
      </c>
      <c r="H9" s="36">
        <f>SUMIFS([1]PositionsAL!U:U,[1]PositionsAL!F:F,"LOCK")</f>
        <v>10127</v>
      </c>
      <c r="I9" s="37">
        <f t="shared" si="6"/>
        <v>0.40705871240098118</v>
      </c>
      <c r="J9" s="38">
        <f t="shared" si="0"/>
        <v>20254</v>
      </c>
      <c r="K9" s="39">
        <f t="shared" si="1"/>
        <v>0.4511821031247602</v>
      </c>
      <c r="L9" s="34">
        <f t="shared" si="2"/>
        <v>-24636.964999999997</v>
      </c>
      <c r="M9" s="40" t="s">
        <v>25</v>
      </c>
    </row>
    <row r="10" spans="1:13" x14ac:dyDescent="0.2">
      <c r="A10" s="65" t="s">
        <v>26</v>
      </c>
      <c r="B10" s="66">
        <v>0.1</v>
      </c>
      <c r="C10" s="67">
        <f>$C$5*B10</f>
        <v>29927.309999999998</v>
      </c>
      <c r="D10" s="68">
        <f t="shared" si="3"/>
        <v>13341.660000000002</v>
      </c>
      <c r="E10" s="69">
        <f>SUMIFS([1]PositionsHK!U:U,[1]PositionsHK!F:F,"INRA")</f>
        <v>10051.120000000001</v>
      </c>
      <c r="F10" s="70">
        <f>E10/D10</f>
        <v>0.75336352447896282</v>
      </c>
      <c r="G10" s="68">
        <f t="shared" si="4"/>
        <v>16585.650000000001</v>
      </c>
      <c r="H10" s="69">
        <f>SUMIFS([1]PositionsAL!U:U,[1]PositionsAL!F:F,"INRA")</f>
        <v>10051.120000000001</v>
      </c>
      <c r="I10" s="70">
        <f t="shared" si="6"/>
        <v>0.60601302933560031</v>
      </c>
      <c r="J10" s="71">
        <f t="shared" si="0"/>
        <v>20102.240000000002</v>
      </c>
      <c r="K10" s="72">
        <f t="shared" si="1"/>
        <v>0.67170220109993195</v>
      </c>
      <c r="L10" s="67">
        <f t="shared" si="2"/>
        <v>-9825.0699999999961</v>
      </c>
      <c r="M10" s="40" t="s">
        <v>27</v>
      </c>
    </row>
    <row r="11" spans="1:13" x14ac:dyDescent="0.2">
      <c r="A11" s="47" t="s">
        <v>28</v>
      </c>
      <c r="B11" s="48">
        <v>0.3</v>
      </c>
      <c r="C11" s="49">
        <f>$C$2*B11</f>
        <v>299273.09999999998</v>
      </c>
      <c r="D11" s="50">
        <f>$D$2*B11</f>
        <v>133416.6</v>
      </c>
      <c r="E11" s="51" cm="1">
        <f t="array" ref="E11">SUMPRODUCT(SUMIFS([1]PositionsHK!U:U,[1]PositionsHK!F:F,IncomeStrategy!A:A))</f>
        <v>113267</v>
      </c>
      <c r="F11" s="52">
        <f>E11/D11</f>
        <v>0.84897231678816576</v>
      </c>
      <c r="G11" s="50">
        <f>$G$2*B11</f>
        <v>165856.5</v>
      </c>
      <c r="H11" s="51" cm="1">
        <f t="array" ref="H11">SUMPRODUCT(SUMIFS([1]PositionsAL!U:U,[1]PositionsAL!F:F,IncomeStrategy!A:A))</f>
        <v>31247</v>
      </c>
      <c r="I11" s="52">
        <f t="shared" ref="I4:I16" si="7">H11/G11</f>
        <v>0.1883978017141324</v>
      </c>
      <c r="J11" s="53">
        <f t="shared" si="0"/>
        <v>144514</v>
      </c>
      <c r="K11" s="54">
        <f t="shared" si="1"/>
        <v>0.48288335971392021</v>
      </c>
      <c r="L11" s="49">
        <f t="shared" si="2"/>
        <v>-154759.09999999998</v>
      </c>
      <c r="M11" s="1" t="s">
        <v>19</v>
      </c>
    </row>
    <row r="12" spans="1:13" x14ac:dyDescent="0.2">
      <c r="A12" s="55" t="s">
        <v>29</v>
      </c>
      <c r="B12" s="56">
        <v>0.05</v>
      </c>
      <c r="C12" s="57">
        <f>$C$2*B12</f>
        <v>49878.850000000006</v>
      </c>
      <c r="D12" s="58">
        <f>$D$2*B12</f>
        <v>22236.100000000002</v>
      </c>
      <c r="E12" s="59">
        <f>E13+E14</f>
        <v>37442.663800000024</v>
      </c>
      <c r="F12" s="60">
        <f>E12/D12</f>
        <v>1.6838682952496176</v>
      </c>
      <c r="G12" s="61">
        <f>$G$2*B12</f>
        <v>27642.75</v>
      </c>
      <c r="H12" s="59">
        <f>H13+H14</f>
        <v>18574.38379999996</v>
      </c>
      <c r="I12" s="60">
        <f>H12/G12</f>
        <v>0.67194413725117652</v>
      </c>
      <c r="J12" s="62">
        <f>E12+H12</f>
        <v>56017.047599999984</v>
      </c>
      <c r="K12" s="63">
        <f t="shared" si="1"/>
        <v>1.1230621315447324</v>
      </c>
      <c r="L12" s="57">
        <f t="shared" si="2"/>
        <v>6138.1975999999777</v>
      </c>
      <c r="M12" s="1" t="s">
        <v>30</v>
      </c>
    </row>
    <row r="13" spans="1:13" x14ac:dyDescent="0.2">
      <c r="A13" s="64" t="s">
        <v>31</v>
      </c>
      <c r="B13" s="24">
        <v>0.5</v>
      </c>
      <c r="C13" s="26">
        <f>$C$12*B13</f>
        <v>24939.425000000003</v>
      </c>
      <c r="D13" s="27">
        <f>$D$12*B13</f>
        <v>11118.050000000001</v>
      </c>
      <c r="E13" s="28" cm="1">
        <f t="array" ref="E13">SUMIFS([1]PositionsHK!U:U,[1]PositionsHK!D:D,"STK")-SUMPRODUCT(SUMIFS([1]PositionsHK!U:U,[1]PositionsHK!D:D,"STK",[1]PositionsHK!F:F,GlobalETF!A:A))-SUMPRODUCT(SUMIFS([1]PositionsHK!U:U,[1]PositionsHK!D:D,"STK",[1]PositionsHK!F:F,GrowthEngine!A:A))-SUMPRODUCT(SUMIFS([1]PositionsHK!U:U,[1]PositionsHK!D:D,"STK",[1]PositionsHK!F:F,IncomeStrategy!A:A))-SUMPRODUCT(SUMIFS([1]PositionsHK!U:U,[1]PositionsHK!D:D,"STK",[1]PositionsHK!F:F,Gold!A:A))</f>
        <v>35192.663800000024</v>
      </c>
      <c r="F13" s="29">
        <f t="shared" ref="F4:F16" si="8">E13/G13</f>
        <v>2.5462491105262699</v>
      </c>
      <c r="G13" s="27">
        <f>$G$12*B13</f>
        <v>13821.375</v>
      </c>
      <c r="H13" s="28" cm="1">
        <f t="array" ref="H13">SUMIFS([1]PositionsAL!U:U,[1]PositionsAL!D:D,"STK")-SUMPRODUCT(SUMIFS([1]PositionsAL!U:U,[1]PositionsAL!D:D,"STK",[1]PositionsAL!F:F,GlobalETF!A:A))-SUMPRODUCT(SUMIFS([1]PositionsAL!U:U,[1]PositionsAL!D:D,"STK",[1]PositionsAL!F:F,GrowthEngine!A:A))-SUMPRODUCT(SUMIFS([1]PositionsAL!U:U,[1]PositionsAL!D:D,"STK",[1]PositionsAL!F:F,IncomeStrategy!A:A))-SUMPRODUCT(SUMIFS([1]PositionsAL!U:U,[1]PositionsAL!D:D,"STK",[1]PositionsAL!F:F,Gold!A:A))</f>
        <v>18574.38379999996</v>
      </c>
      <c r="I13" s="29">
        <f>H13/G13</f>
        <v>1.343888274502353</v>
      </c>
      <c r="J13" s="30">
        <f t="shared" si="0"/>
        <v>53767.047599999984</v>
      </c>
      <c r="K13" s="31">
        <f t="shared" si="1"/>
        <v>2.1559056634224718</v>
      </c>
      <c r="L13" s="26">
        <f t="shared" si="2"/>
        <v>28827.622599999981</v>
      </c>
      <c r="M13" s="32" t="s">
        <v>32</v>
      </c>
    </row>
    <row r="14" spans="1:13" x14ac:dyDescent="0.2">
      <c r="A14" s="65" t="s">
        <v>33</v>
      </c>
      <c r="B14" s="73">
        <v>0.5</v>
      </c>
      <c r="C14" s="74">
        <f>$C$12*B14</f>
        <v>24939.425000000003</v>
      </c>
      <c r="D14" s="75">
        <f>$D$12*B14</f>
        <v>11118.050000000001</v>
      </c>
      <c r="E14" s="76">
        <f>SUMIFS([1]PositionsHK!U:U,[1]PositionsHK!D:D,"OPT",[1]PositionsHK!T:T,"Long")+SUMIFS([1]PositionsHK!U:U,[1]PositionsHK!D:D,"FOP",[1]PositionsHK!T:T,"Long")</f>
        <v>2250</v>
      </c>
      <c r="F14" s="77">
        <f t="shared" si="8"/>
        <v>0.16279132864856066</v>
      </c>
      <c r="G14" s="75">
        <f>$G$12*B14</f>
        <v>13821.375</v>
      </c>
      <c r="H14" s="76">
        <f>SUMIFS([1]PositionsAL!U:U,[1]PositionsAL!D:D,"OPT",[1]PositionsAL!T:T,"Long")+SUMIFS([1]PositionsAL!U:U,[1]PositionsAL!D:D,"FOP",[1]PositionsAL!T:T,"Long")</f>
        <v>0</v>
      </c>
      <c r="I14" s="77">
        <f>H14/G14</f>
        <v>0</v>
      </c>
      <c r="J14" s="78">
        <f t="shared" si="0"/>
        <v>2250</v>
      </c>
      <c r="K14" s="79">
        <f t="shared" si="1"/>
        <v>9.021859966699311E-2</v>
      </c>
      <c r="L14" s="74">
        <f t="shared" si="2"/>
        <v>-22689.425000000003</v>
      </c>
      <c r="M14" s="32" t="s">
        <v>34</v>
      </c>
    </row>
    <row r="15" spans="1:13" x14ac:dyDescent="0.2">
      <c r="A15" s="47" t="s">
        <v>35</v>
      </c>
      <c r="B15" s="48">
        <v>0.03</v>
      </c>
      <c r="C15" s="49">
        <f>$C$2*B15</f>
        <v>29927.309999999998</v>
      </c>
      <c r="D15" s="50">
        <f>$D$2*B15</f>
        <v>13341.66</v>
      </c>
      <c r="E15" s="51">
        <f>SUMIFS([1]PositionsHK!U:U,[1]PositionsHK!F:F,"GSD")</f>
        <v>21157.732775</v>
      </c>
      <c r="F15" s="52">
        <f t="shared" si="8"/>
        <v>1.2756649739383144</v>
      </c>
      <c r="G15" s="50">
        <f>$G$2*B15</f>
        <v>16585.649999999998</v>
      </c>
      <c r="H15" s="51">
        <f>SUMIFS([1]PositionsAL!U:U,[1]PositionsAL!F:F,"GSD")</f>
        <v>4231.5465549999999</v>
      </c>
      <c r="I15" s="52">
        <f t="shared" si="7"/>
        <v>0.25513299478766288</v>
      </c>
      <c r="J15" s="53">
        <f t="shared" si="0"/>
        <v>25389.279330000001</v>
      </c>
      <c r="K15" s="54">
        <f t="shared" si="1"/>
        <v>0.84836489915064206</v>
      </c>
      <c r="L15" s="49">
        <f t="shared" si="2"/>
        <v>-4538.0306699999965</v>
      </c>
      <c r="M15" s="1" t="s">
        <v>36</v>
      </c>
    </row>
    <row r="16" spans="1:13" x14ac:dyDescent="0.2">
      <c r="A16" s="10" t="s">
        <v>37</v>
      </c>
      <c r="B16" s="25">
        <v>0.02</v>
      </c>
      <c r="C16" s="41">
        <f>$C$2*B16</f>
        <v>19951.54</v>
      </c>
      <c r="D16" s="42">
        <f>$D$2*B16</f>
        <v>8894.44</v>
      </c>
      <c r="E16" s="43">
        <v>105000</v>
      </c>
      <c r="F16" s="44">
        <f t="shared" si="8"/>
        <v>9.4961608378327043</v>
      </c>
      <c r="G16" s="42">
        <f>$G$2*B16</f>
        <v>11057.1</v>
      </c>
      <c r="H16" s="43">
        <v>137000</v>
      </c>
      <c r="I16" s="44">
        <f t="shared" si="7"/>
        <v>12.390228902696006</v>
      </c>
      <c r="J16" s="45">
        <f t="shared" si="0"/>
        <v>242000</v>
      </c>
      <c r="K16" s="46">
        <f t="shared" si="1"/>
        <v>12.12938951078463</v>
      </c>
      <c r="L16" s="41">
        <f t="shared" si="2"/>
        <v>222048.46</v>
      </c>
      <c r="M16" s="1" t="s">
        <v>38</v>
      </c>
    </row>
    <row r="17" spans="1:13" x14ac:dyDescent="0.2">
      <c r="A17" s="12"/>
      <c r="B17" s="13">
        <f>B4+B5+B11+B12+B15+B16</f>
        <v>1</v>
      </c>
      <c r="C17" s="12"/>
      <c r="D17" s="12"/>
      <c r="E17" s="14">
        <f>E4+E5+E11+E12+E15+E16</f>
        <v>460068.48662500002</v>
      </c>
      <c r="F17" s="14"/>
      <c r="G17" s="14"/>
      <c r="H17" s="14">
        <f t="shared" ref="F17:H17" si="9">SUM(H4:H16)</f>
        <v>648010.74945499992</v>
      </c>
      <c r="I17" s="12"/>
      <c r="J17" s="12"/>
      <c r="K17" s="12"/>
      <c r="L17" s="12"/>
      <c r="M17" s="12"/>
    </row>
    <row r="19" spans="1:13" x14ac:dyDescent="0.2">
      <c r="A19" s="11"/>
    </row>
  </sheetData>
  <conditionalFormatting sqref="F4:F16">
    <cfRule type="expression" dxfId="56" priority="56">
      <formula>AND(F4&gt;=80%, F4&lt;=120%)</formula>
    </cfRule>
    <cfRule type="expression" dxfId="57" priority="55">
      <formula>AND(F4&gt;=50%, F4&lt;80%)</formula>
    </cfRule>
    <cfRule type="expression" dxfId="58" priority="54">
      <formula>AND(F4&lt;50%)</formula>
    </cfRule>
    <cfRule type="expression" dxfId="55" priority="53">
      <formula>AND(F4&gt;=120%)</formula>
    </cfRule>
  </conditionalFormatting>
  <conditionalFormatting sqref="I4">
    <cfRule type="expression" dxfId="48" priority="49">
      <formula>AND(I4&gt;=120%)</formula>
    </cfRule>
    <cfRule type="expression" dxfId="49" priority="50">
      <formula>AND(I4&lt;50%)</formula>
    </cfRule>
    <cfRule type="expression" dxfId="50" priority="51">
      <formula>AND(I4&gt;=50%, I4&lt;80%)</formula>
    </cfRule>
    <cfRule type="expression" dxfId="51" priority="52">
      <formula>AND(I4&gt;=80%, I4&lt;=120%)</formula>
    </cfRule>
  </conditionalFormatting>
  <conditionalFormatting sqref="I5">
    <cfRule type="expression" dxfId="44" priority="45">
      <formula>AND(I5&gt;=120%)</formula>
    </cfRule>
    <cfRule type="expression" dxfId="45" priority="46">
      <formula>AND(I5&lt;50%)</formula>
    </cfRule>
    <cfRule type="expression" dxfId="46" priority="47">
      <formula>AND(I5&gt;=50%, I5&lt;80%)</formula>
    </cfRule>
    <cfRule type="expression" dxfId="47" priority="48">
      <formula>AND(I5&gt;=80%, I5&lt;=120%)</formula>
    </cfRule>
  </conditionalFormatting>
  <conditionalFormatting sqref="I6">
    <cfRule type="expression" dxfId="40" priority="41">
      <formula>AND(I6&gt;=120%)</formula>
    </cfRule>
    <cfRule type="expression" dxfId="41" priority="42">
      <formula>AND(I6&lt;50%)</formula>
    </cfRule>
    <cfRule type="expression" dxfId="42" priority="43">
      <formula>AND(I6&gt;=50%, I6&lt;80%)</formula>
    </cfRule>
    <cfRule type="expression" dxfId="43" priority="44">
      <formula>AND(I6&gt;=80%, I6&lt;=120%)</formula>
    </cfRule>
  </conditionalFormatting>
  <conditionalFormatting sqref="I7">
    <cfRule type="expression" dxfId="36" priority="37">
      <formula>AND(I7&gt;=120%)</formula>
    </cfRule>
    <cfRule type="expression" dxfId="37" priority="38">
      <formula>AND(I7&lt;50%)</formula>
    </cfRule>
    <cfRule type="expression" dxfId="38" priority="39">
      <formula>AND(I7&gt;=50%, I7&lt;80%)</formula>
    </cfRule>
    <cfRule type="expression" dxfId="39" priority="40">
      <formula>AND(I7&gt;=80%, I7&lt;=120%)</formula>
    </cfRule>
  </conditionalFormatting>
  <conditionalFormatting sqref="I8">
    <cfRule type="expression" dxfId="32" priority="33">
      <formula>AND(I8&gt;=120%)</formula>
    </cfRule>
    <cfRule type="expression" dxfId="33" priority="34">
      <formula>AND(I8&lt;50%)</formula>
    </cfRule>
    <cfRule type="expression" dxfId="34" priority="35">
      <formula>AND(I8&gt;=50%, I8&lt;80%)</formula>
    </cfRule>
    <cfRule type="expression" dxfId="35" priority="36">
      <formula>AND(I8&gt;=80%, I8&lt;=120%)</formula>
    </cfRule>
  </conditionalFormatting>
  <conditionalFormatting sqref="I9">
    <cfRule type="expression" dxfId="28" priority="29">
      <formula>AND(I9&gt;=120%)</formula>
    </cfRule>
    <cfRule type="expression" dxfId="29" priority="30">
      <formula>AND(I9&lt;50%)</formula>
    </cfRule>
    <cfRule type="expression" dxfId="30" priority="31">
      <formula>AND(I9&gt;=50%, I9&lt;80%)</formula>
    </cfRule>
    <cfRule type="expression" dxfId="31" priority="32">
      <formula>AND(I9&gt;=80%, I9&lt;=120%)</formula>
    </cfRule>
  </conditionalFormatting>
  <conditionalFormatting sqref="I10">
    <cfRule type="expression" dxfId="24" priority="25">
      <formula>AND(I10&gt;=120%)</formula>
    </cfRule>
    <cfRule type="expression" dxfId="25" priority="26">
      <formula>AND(I10&lt;50%)</formula>
    </cfRule>
    <cfRule type="expression" dxfId="26" priority="27">
      <formula>AND(I10&gt;=50%, I10&lt;80%)</formula>
    </cfRule>
    <cfRule type="expression" dxfId="27" priority="28">
      <formula>AND(I10&gt;=80%, I10&lt;=120%)</formula>
    </cfRule>
  </conditionalFormatting>
  <conditionalFormatting sqref="I11">
    <cfRule type="expression" dxfId="20" priority="21">
      <formula>AND(I11&gt;=120%)</formula>
    </cfRule>
    <cfRule type="expression" dxfId="21" priority="22">
      <formula>AND(I11&lt;50%)</formula>
    </cfRule>
    <cfRule type="expression" dxfId="22" priority="23">
      <formula>AND(I11&gt;=50%, I11&lt;80%)</formula>
    </cfRule>
    <cfRule type="expression" dxfId="23" priority="24">
      <formula>AND(I11&gt;=80%, I11&lt;=120%)</formula>
    </cfRule>
  </conditionalFormatting>
  <conditionalFormatting sqref="I12">
    <cfRule type="expression" dxfId="16" priority="17">
      <formula>AND(I12&gt;=120%)</formula>
    </cfRule>
    <cfRule type="expression" dxfId="17" priority="18">
      <formula>AND(I12&lt;50%)</formula>
    </cfRule>
    <cfRule type="expression" dxfId="18" priority="19">
      <formula>AND(I12&gt;=50%, I12&lt;80%)</formula>
    </cfRule>
    <cfRule type="expression" dxfId="19" priority="20">
      <formula>AND(I12&gt;=80%, I12&lt;=120%)</formula>
    </cfRule>
  </conditionalFormatting>
  <conditionalFormatting sqref="I13">
    <cfRule type="expression" dxfId="12" priority="13">
      <formula>AND(I13&gt;=120%)</formula>
    </cfRule>
    <cfRule type="expression" dxfId="13" priority="14">
      <formula>AND(I13&lt;50%)</formula>
    </cfRule>
    <cfRule type="expression" dxfId="14" priority="15">
      <formula>AND(I13&gt;=50%, I13&lt;80%)</formula>
    </cfRule>
    <cfRule type="expression" dxfId="15" priority="16">
      <formula>AND(I13&gt;=80%, I13&lt;=120%)</formula>
    </cfRule>
  </conditionalFormatting>
  <conditionalFormatting sqref="I14">
    <cfRule type="expression" dxfId="8" priority="9">
      <formula>AND(I14&gt;=120%)</formula>
    </cfRule>
    <cfRule type="expression" dxfId="9" priority="10">
      <formula>AND(I14&lt;50%)</formula>
    </cfRule>
    <cfRule type="expression" dxfId="10" priority="11">
      <formula>AND(I14&gt;=50%, I14&lt;80%)</formula>
    </cfRule>
    <cfRule type="expression" dxfId="11" priority="12">
      <formula>AND(I14&gt;=80%, I14&lt;=120%)</formula>
    </cfRule>
  </conditionalFormatting>
  <conditionalFormatting sqref="I15">
    <cfRule type="expression" dxfId="4" priority="5">
      <formula>AND(I15&gt;=120%)</formula>
    </cfRule>
    <cfRule type="expression" dxfId="5" priority="6">
      <formula>AND(I15&lt;50%)</formula>
    </cfRule>
    <cfRule type="expression" dxfId="6" priority="7">
      <formula>AND(I15&gt;=50%, I15&lt;80%)</formula>
    </cfRule>
    <cfRule type="expression" dxfId="7" priority="8">
      <formula>AND(I15&gt;=80%, I15&lt;=120%)</formula>
    </cfRule>
  </conditionalFormatting>
  <conditionalFormatting sqref="I16">
    <cfRule type="expression" dxfId="0" priority="1">
      <formula>AND(I16&gt;=120%)</formula>
    </cfRule>
    <cfRule type="expression" dxfId="1" priority="2">
      <formula>AND(I16&lt;50%)</formula>
    </cfRule>
    <cfRule type="expression" dxfId="2" priority="3">
      <formula>AND(I16&gt;=50%, I16&lt;80%)</formula>
    </cfRule>
    <cfRule type="expression" dxfId="3" priority="4">
      <formula>AND(I16&gt;=80%, I16&lt;=120%)</formula>
    </cfRule>
  </conditionalFormatting>
  <pageMargins left="0.75" right="0.75" top="1" bottom="1" header="0.5" footer="0.5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D11" sqref="D11"/>
    </sheetView>
  </sheetViews>
  <sheetFormatPr baseColWidth="10" defaultRowHeight="16" x14ac:dyDescent="0.2"/>
  <cols>
    <col min="1" max="2" width="8.1640625" style="1" bestFit="1" customWidth="1"/>
    <col min="3" max="3" width="20" style="1" bestFit="1" customWidth="1"/>
    <col min="4" max="4" width="21.1640625" style="1" bestFit="1" customWidth="1"/>
    <col min="5" max="5" width="20" style="1" bestFit="1" customWidth="1"/>
    <col min="6" max="6" width="75.5" style="1" bestFit="1" customWidth="1"/>
    <col min="7" max="7" width="10.83203125" style="1" customWidth="1"/>
    <col min="8" max="16384" width="10.83203125" style="1"/>
  </cols>
  <sheetData>
    <row r="1" spans="1:6" x14ac:dyDescent="0.2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</row>
    <row r="2" spans="1:6" x14ac:dyDescent="0.2">
      <c r="A2" s="6">
        <v>82846</v>
      </c>
      <c r="B2" s="4">
        <v>0.15</v>
      </c>
      <c r="C2" s="1" t="s">
        <v>45</v>
      </c>
      <c r="D2" s="1" t="s">
        <v>46</v>
      </c>
      <c r="E2" s="5">
        <v>3.8E-3</v>
      </c>
      <c r="F2" s="1" t="s">
        <v>47</v>
      </c>
    </row>
    <row r="3" spans="1:6" x14ac:dyDescent="0.2">
      <c r="A3" s="1" t="s">
        <v>48</v>
      </c>
      <c r="B3" s="4">
        <v>0.1</v>
      </c>
      <c r="C3" s="1" t="s">
        <v>49</v>
      </c>
      <c r="D3" s="1" t="s">
        <v>50</v>
      </c>
      <c r="E3" s="1" t="s">
        <v>51</v>
      </c>
      <c r="F3" s="1" t="s">
        <v>52</v>
      </c>
    </row>
    <row r="4" spans="1:6" x14ac:dyDescent="0.2">
      <c r="A4" s="1" t="s">
        <v>53</v>
      </c>
      <c r="B4" s="4">
        <v>0.15</v>
      </c>
      <c r="C4" s="1" t="s">
        <v>54</v>
      </c>
      <c r="D4" s="1" t="s">
        <v>55</v>
      </c>
      <c r="E4" s="5">
        <v>2.8E-3</v>
      </c>
      <c r="F4" s="1" t="s">
        <v>56</v>
      </c>
    </row>
    <row r="5" spans="1:6" x14ac:dyDescent="0.2">
      <c r="A5" s="1" t="s">
        <v>57</v>
      </c>
      <c r="B5" s="4">
        <v>0.1</v>
      </c>
      <c r="C5" s="1" t="s">
        <v>58</v>
      </c>
      <c r="D5" s="1" t="s">
        <v>59</v>
      </c>
      <c r="E5" s="5">
        <v>1.9E-3</v>
      </c>
      <c r="F5" s="1" t="s">
        <v>60</v>
      </c>
    </row>
    <row r="6" spans="1:6" x14ac:dyDescent="0.2">
      <c r="A6" s="1" t="s">
        <v>61</v>
      </c>
      <c r="B6" s="4">
        <v>0.5</v>
      </c>
      <c r="C6" s="1" t="s">
        <v>49</v>
      </c>
      <c r="D6" s="1" t="s">
        <v>59</v>
      </c>
      <c r="E6" s="5">
        <v>1.9E-3</v>
      </c>
      <c r="F6" s="1" t="s">
        <v>62</v>
      </c>
    </row>
    <row r="7" spans="1:6" x14ac:dyDescent="0.2">
      <c r="E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"/>
  <sheetViews>
    <sheetView workbookViewId="0">
      <selection activeCell="F12" sqref="F1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9.33203125" style="1" bestFit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16.5" style="1" bestFit="1" customWidth="1"/>
    <col min="8" max="8" width="68.33203125" style="1" bestFit="1" customWidth="1"/>
    <col min="9" max="9" width="12.83203125" style="1" bestFit="1" customWidth="1"/>
    <col min="10" max="11" width="15.1640625" style="1" bestFit="1" customWidth="1"/>
    <col min="12" max="13" width="11.6640625" style="1" bestFit="1" customWidth="1"/>
    <col min="14" max="14" width="10.83203125" style="1" customWidth="1"/>
    <col min="15" max="16384" width="10.83203125" style="1"/>
  </cols>
  <sheetData>
    <row r="1" spans="1:13" x14ac:dyDescent="0.2">
      <c r="A1" s="1" t="s">
        <v>39</v>
      </c>
      <c r="B1" s="1" t="s">
        <v>63</v>
      </c>
      <c r="C1" s="1" t="s">
        <v>64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0</v>
      </c>
      <c r="K1" s="1" t="s">
        <v>1</v>
      </c>
      <c r="L1" s="1" t="s">
        <v>6</v>
      </c>
      <c r="M1" s="1" t="s">
        <v>8</v>
      </c>
    </row>
    <row r="2" spans="1:13" x14ac:dyDescent="0.2">
      <c r="A2" s="1" t="s">
        <v>71</v>
      </c>
      <c r="B2" s="1" t="s">
        <v>72</v>
      </c>
      <c r="C2" s="1" t="s">
        <v>73</v>
      </c>
      <c r="D2" s="1" t="s">
        <v>74</v>
      </c>
      <c r="E2" s="5">
        <v>3.3E-3</v>
      </c>
      <c r="F2" s="5">
        <v>0.20499999999999999</v>
      </c>
      <c r="G2" s="1" t="s">
        <v>75</v>
      </c>
      <c r="H2" s="1" t="s">
        <v>19</v>
      </c>
      <c r="I2" s="4">
        <v>0.4</v>
      </c>
      <c r="J2" s="7">
        <f>Dashboard!$D$5*GrowthEngine!I2</f>
        <v>53366.640000000007</v>
      </c>
      <c r="K2" s="7">
        <f>Dashboard!$G$5*GrowthEngine!I2</f>
        <v>66342.600000000006</v>
      </c>
    </row>
    <row r="3" spans="1:13" x14ac:dyDescent="0.2">
      <c r="A3" s="1" t="s">
        <v>76</v>
      </c>
      <c r="B3" s="1" t="s">
        <v>72</v>
      </c>
      <c r="C3" s="1" t="s">
        <v>73</v>
      </c>
      <c r="D3" s="1" t="s">
        <v>77</v>
      </c>
      <c r="E3" s="5">
        <v>4.4999999999999997E-3</v>
      </c>
      <c r="F3" s="5">
        <v>0.35499999999999998</v>
      </c>
      <c r="G3" s="1" t="s">
        <v>78</v>
      </c>
      <c r="H3" s="1" t="s">
        <v>21</v>
      </c>
      <c r="I3" s="4">
        <v>0.2</v>
      </c>
      <c r="J3" s="7">
        <f>Dashboard!$D$5*GrowthEngine!I3</f>
        <v>26683.320000000003</v>
      </c>
      <c r="K3" s="7">
        <f>Dashboard!$G$5*GrowthEngine!I3</f>
        <v>33171.300000000003</v>
      </c>
    </row>
    <row r="4" spans="1:13" x14ac:dyDescent="0.2">
      <c r="A4" s="1" t="s">
        <v>79</v>
      </c>
      <c r="B4" s="1" t="s">
        <v>80</v>
      </c>
      <c r="C4" s="1" t="s">
        <v>73</v>
      </c>
      <c r="D4" s="1" t="s">
        <v>81</v>
      </c>
      <c r="E4" s="5">
        <v>4.0000000000000001E-3</v>
      </c>
      <c r="F4" s="5">
        <v>0.185</v>
      </c>
      <c r="G4" s="1" t="s">
        <v>82</v>
      </c>
      <c r="H4" s="1" t="s">
        <v>23</v>
      </c>
      <c r="I4" s="4">
        <v>0.15</v>
      </c>
      <c r="J4" s="7">
        <f>Dashboard!$D$5*GrowthEngine!I4</f>
        <v>20012.490000000002</v>
      </c>
      <c r="K4" s="7">
        <f>Dashboard!$G$5*GrowthEngine!I4</f>
        <v>24878.474999999999</v>
      </c>
    </row>
    <row r="5" spans="1:13" x14ac:dyDescent="0.2">
      <c r="A5" s="1" t="s">
        <v>83</v>
      </c>
      <c r="B5" s="1" t="s">
        <v>84</v>
      </c>
      <c r="C5" s="1" t="s">
        <v>73</v>
      </c>
      <c r="D5" s="1" t="s">
        <v>85</v>
      </c>
      <c r="E5" s="5">
        <v>6.4999999999999997E-3</v>
      </c>
      <c r="F5" s="5">
        <v>0.46</v>
      </c>
      <c r="G5" s="1" t="s">
        <v>86</v>
      </c>
      <c r="H5" s="1" t="s">
        <v>27</v>
      </c>
      <c r="I5" s="4">
        <v>0.1</v>
      </c>
      <c r="J5" s="7">
        <f>Dashboard!$D$5*GrowthEngine!I5</f>
        <v>13341.660000000002</v>
      </c>
      <c r="K5" s="7">
        <f>Dashboard!$G$5*GrowthEngine!I5</f>
        <v>16585.650000000001</v>
      </c>
    </row>
    <row r="6" spans="1:13" x14ac:dyDescent="0.2">
      <c r="A6" s="1" t="s">
        <v>87</v>
      </c>
      <c r="B6" s="1" t="s">
        <v>72</v>
      </c>
      <c r="C6" s="1" t="s">
        <v>73</v>
      </c>
      <c r="D6" s="1" t="s">
        <v>88</v>
      </c>
      <c r="E6" s="5">
        <v>4.0000000000000001E-3</v>
      </c>
      <c r="F6" s="5">
        <v>0.115</v>
      </c>
      <c r="G6" s="1" t="s">
        <v>89</v>
      </c>
      <c r="H6" s="1" t="s">
        <v>25</v>
      </c>
      <c r="I6" s="4">
        <v>0.15</v>
      </c>
      <c r="J6" s="7">
        <f>Dashboard!$D$5*GrowthEngine!I6</f>
        <v>20012.490000000002</v>
      </c>
      <c r="K6" s="7">
        <f>Dashboard!$G$5*GrowthEngine!I6</f>
        <v>24878.474999999999</v>
      </c>
    </row>
    <row r="7" spans="1:13" x14ac:dyDescent="0.2">
      <c r="I7" s="4">
        <f>SUM(I2:I6)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workbookViewId="0">
      <selection activeCell="D19" sqref="D19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8" t="s">
        <v>39</v>
      </c>
      <c r="B1" s="8" t="s">
        <v>3</v>
      </c>
      <c r="C1" s="8" t="s">
        <v>90</v>
      </c>
      <c r="D1" s="8" t="s">
        <v>91</v>
      </c>
      <c r="E1" s="8" t="s">
        <v>92</v>
      </c>
    </row>
    <row r="2" spans="1:5" x14ac:dyDescent="0.2">
      <c r="A2" s="8" t="s">
        <v>93</v>
      </c>
      <c r="B2" s="8" t="s">
        <v>94</v>
      </c>
      <c r="C2" s="8" t="s">
        <v>95</v>
      </c>
      <c r="D2" s="8" t="s">
        <v>96</v>
      </c>
      <c r="E2" s="8" t="s">
        <v>97</v>
      </c>
    </row>
    <row r="3" spans="1:5" x14ac:dyDescent="0.2">
      <c r="A3" s="8" t="s">
        <v>98</v>
      </c>
      <c r="B3" s="8" t="s">
        <v>99</v>
      </c>
      <c r="C3" s="8" t="s">
        <v>100</v>
      </c>
      <c r="D3" s="8" t="s">
        <v>101</v>
      </c>
      <c r="E3" s="8" t="s">
        <v>102</v>
      </c>
    </row>
    <row r="4" spans="1:5" x14ac:dyDescent="0.2">
      <c r="A4" s="8" t="s">
        <v>103</v>
      </c>
      <c r="B4" s="8" t="s">
        <v>99</v>
      </c>
      <c r="C4" s="8" t="s">
        <v>100</v>
      </c>
      <c r="D4" s="8" t="s">
        <v>104</v>
      </c>
      <c r="E4" s="8" t="s">
        <v>105</v>
      </c>
    </row>
    <row r="5" spans="1:5" x14ac:dyDescent="0.2">
      <c r="A5" s="8" t="s">
        <v>106</v>
      </c>
      <c r="B5" s="8" t="s">
        <v>99</v>
      </c>
      <c r="C5" s="8" t="s">
        <v>107</v>
      </c>
      <c r="D5" s="8" t="s">
        <v>108</v>
      </c>
      <c r="E5" s="8" t="s">
        <v>109</v>
      </c>
    </row>
    <row r="6" spans="1:5" x14ac:dyDescent="0.2">
      <c r="A6" s="8" t="s">
        <v>110</v>
      </c>
      <c r="B6" s="8" t="s">
        <v>99</v>
      </c>
      <c r="C6" s="8" t="s">
        <v>107</v>
      </c>
      <c r="D6" s="8" t="s">
        <v>111</v>
      </c>
      <c r="E6" s="8" t="s">
        <v>112</v>
      </c>
    </row>
    <row r="7" spans="1:5" x14ac:dyDescent="0.2">
      <c r="A7" s="8" t="s">
        <v>113</v>
      </c>
      <c r="B7" s="8" t="s">
        <v>99</v>
      </c>
      <c r="C7" s="8" t="s">
        <v>114</v>
      </c>
      <c r="D7" s="8" t="s">
        <v>115</v>
      </c>
      <c r="E7" s="8" t="s">
        <v>116</v>
      </c>
    </row>
    <row r="8" spans="1:5" x14ac:dyDescent="0.2">
      <c r="A8" s="8" t="s">
        <v>117</v>
      </c>
      <c r="B8" s="8" t="s">
        <v>99</v>
      </c>
      <c r="C8" s="8" t="s">
        <v>100</v>
      </c>
      <c r="D8" s="8" t="s">
        <v>118</v>
      </c>
      <c r="E8" s="8" t="s">
        <v>119</v>
      </c>
    </row>
    <row r="9" spans="1:5" x14ac:dyDescent="0.2">
      <c r="A9" s="8" t="s">
        <v>120</v>
      </c>
      <c r="B9" s="8" t="s">
        <v>121</v>
      </c>
      <c r="C9" s="9" t="s">
        <v>122</v>
      </c>
      <c r="D9" s="9" t="s">
        <v>123</v>
      </c>
      <c r="E9" s="9" t="s">
        <v>124</v>
      </c>
    </row>
    <row r="10" spans="1:5" x14ac:dyDescent="0.2">
      <c r="A10" s="8" t="s">
        <v>125</v>
      </c>
      <c r="B10" s="8" t="s">
        <v>121</v>
      </c>
      <c r="C10" s="9" t="s">
        <v>126</v>
      </c>
      <c r="D10" s="9" t="s">
        <v>127</v>
      </c>
      <c r="E10" s="9" t="s">
        <v>128</v>
      </c>
    </row>
    <row r="11" spans="1:5" x14ac:dyDescent="0.2">
      <c r="A11" s="8" t="s">
        <v>129</v>
      </c>
      <c r="B11" s="8" t="s">
        <v>121</v>
      </c>
      <c r="C11" s="9" t="s">
        <v>107</v>
      </c>
      <c r="D11" s="9" t="s">
        <v>130</v>
      </c>
      <c r="E11" s="9" t="s">
        <v>131</v>
      </c>
    </row>
    <row r="12" spans="1:5" x14ac:dyDescent="0.2">
      <c r="A12" s="8" t="s">
        <v>132</v>
      </c>
      <c r="B12" s="8" t="s">
        <v>133</v>
      </c>
      <c r="C12" s="8" t="s">
        <v>107</v>
      </c>
      <c r="D12" s="8" t="s">
        <v>134</v>
      </c>
      <c r="E12" s="8" t="s">
        <v>135</v>
      </c>
    </row>
    <row r="13" spans="1:5" x14ac:dyDescent="0.2">
      <c r="A13" s="8" t="s">
        <v>136</v>
      </c>
      <c r="B13" s="8" t="s">
        <v>137</v>
      </c>
      <c r="C13" s="8" t="s">
        <v>107</v>
      </c>
      <c r="D13" s="8" t="s">
        <v>138</v>
      </c>
      <c r="E13" s="8" t="s">
        <v>139</v>
      </c>
    </row>
    <row r="14" spans="1:5" x14ac:dyDescent="0.2">
      <c r="A14" s="8" t="s">
        <v>140</v>
      </c>
      <c r="B14" s="8" t="s">
        <v>137</v>
      </c>
      <c r="C14" s="8" t="s">
        <v>100</v>
      </c>
      <c r="D14" s="8" t="s">
        <v>141</v>
      </c>
      <c r="E14" s="8" t="s">
        <v>142</v>
      </c>
    </row>
    <row r="15" spans="1:5" x14ac:dyDescent="0.2">
      <c r="A15" s="8" t="s">
        <v>143</v>
      </c>
      <c r="B15" s="8" t="s">
        <v>144</v>
      </c>
      <c r="C15" s="8" t="s">
        <v>100</v>
      </c>
      <c r="D15" s="8" t="s">
        <v>145</v>
      </c>
      <c r="E15" s="8" t="s">
        <v>146</v>
      </c>
    </row>
    <row r="16" spans="1:5" x14ac:dyDescent="0.2">
      <c r="A16" s="8" t="s">
        <v>147</v>
      </c>
      <c r="B16" s="8" t="s">
        <v>144</v>
      </c>
      <c r="C16" s="8" t="s">
        <v>107</v>
      </c>
      <c r="D16" s="8" t="s">
        <v>148</v>
      </c>
      <c r="E16" s="8" t="s">
        <v>149</v>
      </c>
    </row>
    <row r="17" spans="1:5" x14ac:dyDescent="0.2">
      <c r="A17" s="8" t="s">
        <v>150</v>
      </c>
      <c r="B17" s="8" t="s">
        <v>151</v>
      </c>
      <c r="C17" s="8" t="s">
        <v>152</v>
      </c>
      <c r="D17" s="8" t="s">
        <v>153</v>
      </c>
      <c r="E17" s="8" t="s">
        <v>154</v>
      </c>
    </row>
    <row r="18" spans="1:5" x14ac:dyDescent="0.2">
      <c r="A18" s="8" t="s">
        <v>155</v>
      </c>
      <c r="B18" s="8" t="s">
        <v>151</v>
      </c>
      <c r="C18" s="8" t="s">
        <v>100</v>
      </c>
      <c r="D18" s="8" t="s">
        <v>156</v>
      </c>
      <c r="E18" s="8" t="s">
        <v>157</v>
      </c>
    </row>
    <row r="19" spans="1:5" x14ac:dyDescent="0.2">
      <c r="A19" s="8" t="s">
        <v>158</v>
      </c>
      <c r="B19" s="8" t="s">
        <v>151</v>
      </c>
      <c r="C19" s="8" t="s">
        <v>159</v>
      </c>
      <c r="D19" s="8" t="s">
        <v>160</v>
      </c>
      <c r="E19" s="8" t="s">
        <v>161</v>
      </c>
    </row>
    <row r="20" spans="1:5" x14ac:dyDescent="0.2">
      <c r="A20" s="8" t="s">
        <v>162</v>
      </c>
      <c r="B20" s="8" t="s">
        <v>151</v>
      </c>
      <c r="C20" s="8" t="s">
        <v>163</v>
      </c>
      <c r="D20" s="8" t="s">
        <v>164</v>
      </c>
      <c r="E20" s="8" t="s">
        <v>165</v>
      </c>
    </row>
    <row r="21" spans="1:5" x14ac:dyDescent="0.2">
      <c r="A21" s="8" t="s">
        <v>166</v>
      </c>
      <c r="B21" s="8" t="s">
        <v>151</v>
      </c>
      <c r="C21" s="8" t="s">
        <v>107</v>
      </c>
      <c r="D21" s="8" t="s">
        <v>167</v>
      </c>
      <c r="E21" s="8" t="s">
        <v>168</v>
      </c>
    </row>
    <row r="22" spans="1:5" x14ac:dyDescent="0.2">
      <c r="A22" s="8" t="s">
        <v>169</v>
      </c>
      <c r="B22" s="8" t="s">
        <v>151</v>
      </c>
      <c r="C22" s="8" t="s">
        <v>170</v>
      </c>
      <c r="D22" s="8" t="s">
        <v>171</v>
      </c>
      <c r="E22" s="8" t="s">
        <v>172</v>
      </c>
    </row>
    <row r="23" spans="1:5" x14ac:dyDescent="0.2">
      <c r="A23" s="8" t="s">
        <v>173</v>
      </c>
      <c r="B23" s="8" t="s">
        <v>151</v>
      </c>
      <c r="C23" s="8" t="s">
        <v>174</v>
      </c>
      <c r="D23" s="8" t="s">
        <v>175</v>
      </c>
      <c r="E23" s="8" t="s">
        <v>176</v>
      </c>
    </row>
    <row r="24" spans="1:5" x14ac:dyDescent="0.2">
      <c r="A24" s="8" t="s">
        <v>177</v>
      </c>
      <c r="B24" s="8" t="s">
        <v>178</v>
      </c>
      <c r="C24" s="8" t="s">
        <v>170</v>
      </c>
      <c r="D24" s="8" t="s">
        <v>179</v>
      </c>
      <c r="E24" s="8" t="s">
        <v>180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8" t="s">
        <v>39</v>
      </c>
      <c r="B1" s="8" t="s">
        <v>3</v>
      </c>
      <c r="C1" s="8" t="s">
        <v>90</v>
      </c>
      <c r="D1" s="8" t="s">
        <v>91</v>
      </c>
      <c r="E1" s="8" t="s">
        <v>92</v>
      </c>
    </row>
    <row r="2" spans="1:5" s="1" customFormat="1" ht="16" customHeight="1" x14ac:dyDescent="0.2">
      <c r="A2" s="8" t="s">
        <v>181</v>
      </c>
      <c r="B2" s="8" t="s">
        <v>182</v>
      </c>
      <c r="C2" s="8" t="s">
        <v>183</v>
      </c>
      <c r="D2" s="8" t="s">
        <v>184</v>
      </c>
      <c r="E2" s="8" t="s">
        <v>185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F68" sqref="F68"/>
    </sheetView>
  </sheetViews>
  <sheetFormatPr baseColWidth="10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D19" sqref="D19"/>
    </sheetView>
  </sheetViews>
  <sheetFormatPr baseColWidth="10" defaultRowHeight="15" x14ac:dyDescent="0.2"/>
  <sheetData>
    <row r="1" spans="1:1" ht="26" customHeight="1" x14ac:dyDescent="0.35">
      <c r="A1" s="3" t="s">
        <v>186</v>
      </c>
    </row>
    <row r="2" spans="1:1" ht="26" customHeight="1" x14ac:dyDescent="0.35">
      <c r="A2" s="3" t="s">
        <v>187</v>
      </c>
    </row>
    <row r="3" spans="1:1" ht="26" customHeight="1" x14ac:dyDescent="0.35">
      <c r="A3" s="3" t="s">
        <v>188</v>
      </c>
    </row>
    <row r="4" spans="1:1" ht="26" customHeight="1" x14ac:dyDescent="0.35">
      <c r="A4" s="3" t="s">
        <v>189</v>
      </c>
    </row>
    <row r="5" spans="1:1" ht="26" customHeight="1" x14ac:dyDescent="0.35">
      <c r="A5" s="3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GlobalETF</vt:lpstr>
      <vt:lpstr>GrowthEngine</vt:lpstr>
      <vt:lpstr>IncomeStrategy</vt:lpstr>
      <vt:lpstr>Gold</vt:lpstr>
      <vt:lpstr>ColumnDesc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2026-01-20T05:18:43Z</dcterms:modified>
</cp:coreProperties>
</file>