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hongkiatkoh/Desktop/timeless-workspace/timeless-workspace/projects/"/>
    </mc:Choice>
  </mc:AlternateContent>
  <xr:revisionPtr revIDLastSave="0" documentId="13_ncr:1_{8C2E2D67-1AEB-A24E-A533-76FE915E0E59}" xr6:coauthVersionLast="47" xr6:coauthVersionMax="47" xr10:uidLastSave="{00000000-0000-0000-0000-000000000000}"/>
  <bookViews>
    <workbookView xWindow="7080" yWindow="1300" windowWidth="32100" windowHeight="25120" xr2:uid="{00000000-000D-0000-FFFF-FFFF00000000}"/>
  </bookViews>
  <sheets>
    <sheet name="Dashboard" sheetId="1" r:id="rId1"/>
    <sheet name="GlobalETF" sheetId="2" r:id="rId2"/>
    <sheet name="GrowthEngine" sheetId="3" r:id="rId3"/>
    <sheet name="IncomeStrategy" sheetId="4" r:id="rId4"/>
    <sheet name="Gold" sheetId="5" r:id="rId5"/>
    <sheet name="Todo" sheetId="7" r:id="rId6"/>
  </sheets>
  <externalReferences>
    <externalReference r:id="rId7"/>
  </externalReferences>
  <definedNames>
    <definedName name="_xlnm._FilterDatabase" localSheetId="3" hidden="1">IncomeStrategy!$A$1:$E$1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1" l="1"/>
  <c r="E21" i="1"/>
  <c r="E4" i="1" a="1"/>
  <c r="E4" i="1" s="1"/>
  <c r="H20" i="1"/>
  <c r="E20" i="1"/>
  <c r="H19" i="1"/>
  <c r="E19" i="1"/>
  <c r="H18" i="1" a="1"/>
  <c r="H18" i="1" s="1"/>
  <c r="E18" i="1" a="1"/>
  <c r="E18" i="1" s="1"/>
  <c r="E17" i="1" s="1"/>
  <c r="H16" i="1" a="1"/>
  <c r="H16" i="1" s="1"/>
  <c r="E16" i="1" a="1"/>
  <c r="E16" i="1" s="1"/>
  <c r="H15" i="1"/>
  <c r="E15" i="1"/>
  <c r="H14" i="1"/>
  <c r="E14" i="1"/>
  <c r="H13" i="1"/>
  <c r="E13" i="1"/>
  <c r="H12" i="1"/>
  <c r="E12" i="1"/>
  <c r="H11" i="1"/>
  <c r="E11" i="1"/>
  <c r="H9" i="1"/>
  <c r="E9" i="1"/>
  <c r="H8" i="1"/>
  <c r="E8" i="1"/>
  <c r="H7" i="1"/>
  <c r="E7" i="1"/>
  <c r="H6" i="1"/>
  <c r="E6" i="1"/>
  <c r="H5" i="1"/>
  <c r="E5" i="1"/>
  <c r="H4" i="1" a="1"/>
  <c r="H4" i="1" s="1"/>
  <c r="A56" i="1"/>
  <c r="A55" i="1"/>
  <c r="A54" i="1"/>
  <c r="A53" i="1"/>
  <c r="A52" i="1"/>
  <c r="A51" i="1"/>
  <c r="A50" i="1"/>
  <c r="B22" i="1"/>
  <c r="I7" i="3"/>
  <c r="F44" i="1" l="1"/>
  <c r="J21" i="1"/>
  <c r="C56" i="1" s="1"/>
  <c r="H10" i="1"/>
  <c r="G2" i="1" s="1"/>
  <c r="E10" i="1"/>
  <c r="J9" i="1"/>
  <c r="J8" i="1"/>
  <c r="J7" i="1"/>
  <c r="J5" i="1"/>
  <c r="J6" i="1"/>
  <c r="H17" i="1"/>
  <c r="J18" i="1"/>
  <c r="C53" i="1" s="1"/>
  <c r="J19" i="1"/>
  <c r="C54" i="1" s="1"/>
  <c r="J20" i="1"/>
  <c r="C55" i="1" s="1"/>
  <c r="J11" i="1"/>
  <c r="J12" i="1"/>
  <c r="J13" i="1"/>
  <c r="J15" i="1"/>
  <c r="J14" i="1"/>
  <c r="J16" i="1"/>
  <c r="C52" i="1" s="1"/>
  <c r="J4" i="1"/>
  <c r="C50" i="1" s="1"/>
  <c r="G16" i="1" l="1"/>
  <c r="I16" i="1" s="1"/>
  <c r="G21" i="1"/>
  <c r="G20" i="1"/>
  <c r="G10" i="1"/>
  <c r="G17" i="1"/>
  <c r="G4" i="1"/>
  <c r="I17" i="1"/>
  <c r="J17" i="1"/>
  <c r="D2" i="1"/>
  <c r="J10" i="1"/>
  <c r="C51" i="1" s="1"/>
  <c r="G19" i="1" l="1"/>
  <c r="G18" i="1"/>
  <c r="K2" i="3"/>
  <c r="G14" i="1"/>
  <c r="I14" i="1" s="1"/>
  <c r="K5" i="3"/>
  <c r="G11" i="1"/>
  <c r="I11" i="1" s="1"/>
  <c r="G15" i="1"/>
  <c r="I15" i="1" s="1"/>
  <c r="K4" i="3"/>
  <c r="K3" i="3"/>
  <c r="G13" i="1"/>
  <c r="I13" i="1" s="1"/>
  <c r="G12" i="1"/>
  <c r="I12" i="1" s="1"/>
  <c r="K6" i="3"/>
  <c r="F20" i="1"/>
  <c r="I20" i="1"/>
  <c r="I10" i="1"/>
  <c r="F21" i="1"/>
  <c r="I21" i="1"/>
  <c r="D21" i="1"/>
  <c r="F40" i="1"/>
  <c r="D20" i="1"/>
  <c r="D10" i="1"/>
  <c r="D17" i="1"/>
  <c r="D16" i="1"/>
  <c r="F16" i="1" s="1"/>
  <c r="D4" i="1"/>
  <c r="G7" i="1"/>
  <c r="I7" i="1" s="1"/>
  <c r="G6" i="1"/>
  <c r="I6" i="1" s="1"/>
  <c r="G9" i="1"/>
  <c r="I9" i="1" s="1"/>
  <c r="I4" i="1"/>
  <c r="G5" i="1"/>
  <c r="I5" i="1" s="1"/>
  <c r="G8" i="1"/>
  <c r="I8" i="1" s="1"/>
  <c r="D18" i="1" l="1"/>
  <c r="F17" i="1"/>
  <c r="D19" i="1"/>
  <c r="J2" i="3"/>
  <c r="D11" i="1"/>
  <c r="F11" i="1" s="1"/>
  <c r="D13" i="1"/>
  <c r="F13" i="1" s="1"/>
  <c r="D14" i="1"/>
  <c r="F14" i="1" s="1"/>
  <c r="J4" i="3"/>
  <c r="D15" i="1"/>
  <c r="F15" i="1" s="1"/>
  <c r="J5" i="3"/>
  <c r="J3" i="3"/>
  <c r="D12" i="1"/>
  <c r="F12" i="1" s="1"/>
  <c r="J6" i="3"/>
  <c r="F10" i="1"/>
  <c r="I18" i="1"/>
  <c r="F18" i="1"/>
  <c r="F42" i="1"/>
  <c r="G41" i="1" s="1"/>
  <c r="G43" i="1"/>
  <c r="C21" i="1"/>
  <c r="C10" i="1"/>
  <c r="C20" i="1"/>
  <c r="C4" i="1"/>
  <c r="C17" i="1"/>
  <c r="C16" i="1"/>
  <c r="D9" i="1"/>
  <c r="F9" i="1" s="1"/>
  <c r="D8" i="1"/>
  <c r="F8" i="1" s="1"/>
  <c r="D5" i="1"/>
  <c r="F5" i="1" s="1"/>
  <c r="D7" i="1"/>
  <c r="F7" i="1" s="1"/>
  <c r="D6" i="1"/>
  <c r="F6" i="1" s="1"/>
  <c r="F4" i="1"/>
  <c r="F19" i="1"/>
  <c r="I19" i="1"/>
  <c r="B51" i="1" l="1"/>
  <c r="C11" i="1"/>
  <c r="K11" i="1" s="1"/>
  <c r="C15" i="1"/>
  <c r="K15" i="1" s="1"/>
  <c r="C12" i="1"/>
  <c r="K12" i="1" s="1"/>
  <c r="C14" i="1"/>
  <c r="K14" i="1" s="1"/>
  <c r="C13" i="1"/>
  <c r="K13" i="1" s="1"/>
  <c r="K10" i="1"/>
  <c r="B56" i="1"/>
  <c r="K21" i="1"/>
  <c r="B52" i="1"/>
  <c r="K16" i="1"/>
  <c r="C18" i="1"/>
  <c r="C19" i="1"/>
  <c r="K17" i="1"/>
  <c r="B50" i="1"/>
  <c r="C7" i="1"/>
  <c r="K7" i="1" s="1"/>
  <c r="C8" i="1"/>
  <c r="K8" i="1" s="1"/>
  <c r="C6" i="1"/>
  <c r="K6" i="1" s="1"/>
  <c r="C5" i="1"/>
  <c r="K5" i="1" s="1"/>
  <c r="C9" i="1"/>
  <c r="K9" i="1" s="1"/>
  <c r="K4" i="1"/>
  <c r="B55" i="1"/>
  <c r="K20" i="1"/>
  <c r="B54" i="1" l="1"/>
  <c r="K19" i="1"/>
  <c r="K18" i="1"/>
  <c r="B5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 Kiat Koh</author>
  </authors>
  <commentList>
    <comment ref="E4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 xml:space="preserve">Reads all tickers from the GlobalETF sheet column A
</t>
        </r>
        <r>
          <rPr>
            <sz val="11"/>
            <color rgb="FF000000"/>
            <rFont val="Calibri"/>
            <family val="2"/>
          </rPr>
          <t xml:space="preserve">Looks for matching symbols in PositionsHK column F
</t>
        </r>
        <r>
          <rPr>
            <sz val="11"/>
            <color rgb="FF000000"/>
            <rFont val="Calibri"/>
            <family val="2"/>
          </rPr>
          <t>Sums the corresponding PositionValue from column O</t>
        </r>
      </text>
    </comment>
    <comment ref="E18" authorId="0" shapeId="0" xr:uid="{00000000-0006-0000-0000-000003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 xml:space="preserve">This formula: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Sums all PositionValue (column O) where AssetClass (column D) = "STK"
</t>
        </r>
        <r>
          <rPr>
            <sz val="11"/>
            <color rgb="FF000000"/>
            <rFont val="Calibri"/>
            <family val="2"/>
          </rPr>
          <t xml:space="preserve">Subtracts positions matching tickers in GrowthEngine column A
</t>
        </r>
        <r>
          <rPr>
            <sz val="11"/>
            <color rgb="FF000000"/>
            <rFont val="Calibri"/>
            <family val="2"/>
          </rPr>
          <t xml:space="preserve">Subtracts positions matching tickers in IncomeStrategy column A
</t>
        </r>
        <r>
          <rPr>
            <sz val="11"/>
            <color rgb="FF000000"/>
            <rFont val="Calibri"/>
            <family val="2"/>
          </rPr>
          <t>Result: Total value of STK positions excluding those in your GrowthEngine and IncomeStrategy lists.</t>
        </r>
      </text>
    </comment>
    <comment ref="E19" authorId="0" shapeId="0" xr:uid="{00000000-0006-0000-0000-000004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 xml:space="preserve">This formula: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Sums PositionValue (column O) where AssetClass (column D) = "OPT" AND PositionValue &gt; 0
</t>
        </r>
        <r>
          <rPr>
            <sz val="11"/>
            <color rgb="FF000000"/>
            <rFont val="Calibri"/>
            <family val="2"/>
          </rPr>
          <t>Adds sums of PositionValue where AssetClass = "FOP" AND PositionValue &gt; 0</t>
        </r>
      </text>
    </comment>
    <comment ref="E20" authorId="0" shapeId="0" xr:uid="{00000000-0006-0000-0000-000005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>This sums PositionValue (column O) where SubCategory (column E) is "ETF" AND Symbol (column F) is either "BITO" or "GSD".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<sst xmlns="http://schemas.openxmlformats.org/spreadsheetml/2006/main" count="236" uniqueCount="187">
  <si>
    <t>HK</t>
  </si>
  <si>
    <t>AL</t>
  </si>
  <si>
    <t>TOTAL</t>
  </si>
  <si>
    <t>Category</t>
  </si>
  <si>
    <t>Percent</t>
  </si>
  <si>
    <t>Target</t>
  </si>
  <si>
    <t>Actual HK</t>
  </si>
  <si>
    <t>Actual AL</t>
  </si>
  <si>
    <t>Actual Total</t>
  </si>
  <si>
    <t>Actual %</t>
  </si>
  <si>
    <t>Remarks</t>
  </si>
  <si>
    <t>Growth Engine (The five horseman)</t>
  </si>
  <si>
    <t>Digital (CSNDX)</t>
  </si>
  <si>
    <t>Digital: 100 US Tech giants. Your core foundation.</t>
  </si>
  <si>
    <t>Manufacturing (CTEC)</t>
  </si>
  <si>
    <t>Manufacturing: 150+ China Hard Tech &amp; AI leaders.</t>
  </si>
  <si>
    <t>Biotic: Global Genomics &amp; Med-Tech Innovation.</t>
  </si>
  <si>
    <t>Security (LOCK)</t>
  </si>
  <si>
    <t>Security: Cyberdefense &amp; Data Infrastructure.</t>
  </si>
  <si>
    <t>Energy (INRA)</t>
  </si>
  <si>
    <t>Energy: Clean energy utilities powering AI data centers.</t>
  </si>
  <si>
    <t>Ticker</t>
  </si>
  <si>
    <t>Weight</t>
  </si>
  <si>
    <t>Trading Currency</t>
  </si>
  <si>
    <t>Focus / Sector</t>
  </si>
  <si>
    <t>Exp. Ratio (TER)</t>
  </si>
  <si>
    <t>2026 Strategy Profile</t>
  </si>
  <si>
    <t>CNY</t>
  </si>
  <si>
    <t>China Blue-Chips</t>
  </si>
  <si>
    <t>The Value Hedge. Direct exposure to mainland Yuan &amp; economy.</t>
  </si>
  <si>
    <t>DHL</t>
  </si>
  <si>
    <t>EUR</t>
  </si>
  <si>
    <t>Logistics (Stock)</t>
  </si>
  <si>
    <t>None</t>
  </si>
  <si>
    <t>Physical Value. Industrial exposure with a strong Euro-yield.</t>
  </si>
  <si>
    <t>ES3</t>
  </si>
  <si>
    <t>SGD</t>
  </si>
  <si>
    <t>Singapore Index</t>
  </si>
  <si>
    <t>Income Anchor. Reliable ~3.7% yield in stable SGD.</t>
  </si>
  <si>
    <t>VWRA</t>
  </si>
  <si>
    <t>USD</t>
  </si>
  <si>
    <t>Global Core (Acc)</t>
  </si>
  <si>
    <t>USD Liquidity. Identical to VWCE; used for flexible USD entry.</t>
  </si>
  <si>
    <t>VWCE</t>
  </si>
  <si>
    <t>Primary Anchor. Captures world growth with a Euro-base.</t>
  </si>
  <si>
    <t>Primary Exchange</t>
  </si>
  <si>
    <t>Manager</t>
  </si>
  <si>
    <t>AUM (USD)</t>
  </si>
  <si>
    <t>Exp. Ratio</t>
  </si>
  <si>
    <t>2025 Return</t>
  </si>
  <si>
    <t>Top 1 Holding</t>
  </si>
  <si>
    <t>Strategy Profile</t>
  </si>
  <si>
    <t>Allocation</t>
  </si>
  <si>
    <t>CSNDX</t>
  </si>
  <si>
    <t>SIX (Swiss)</t>
  </si>
  <si>
    <t>iShares</t>
  </si>
  <si>
    <t>~$23.7 Billion</t>
  </si>
  <si>
    <t>NVIDIA</t>
  </si>
  <si>
    <t>CTEC</t>
  </si>
  <si>
    <t>~$2.4 Billion</t>
  </si>
  <si>
    <t>NetEase</t>
  </si>
  <si>
    <t>HEAL</t>
  </si>
  <si>
    <t>LSE</t>
  </si>
  <si>
    <t>~$1.1 Billion</t>
  </si>
  <si>
    <t>Illumina</t>
  </si>
  <si>
    <t>INRA</t>
  </si>
  <si>
    <t>AEB</t>
  </si>
  <si>
    <t>~$3.2 Billion</t>
  </si>
  <si>
    <t>Bloom Energy</t>
  </si>
  <si>
    <t>LOCK</t>
  </si>
  <si>
    <t>~$1.8 Billion</t>
  </si>
  <si>
    <t>Ciena Corp</t>
  </si>
  <si>
    <t>Best For</t>
  </si>
  <si>
    <t>2026 Profile</t>
  </si>
  <si>
    <t>Why It Works?</t>
  </si>
  <si>
    <t>SPY</t>
  </si>
  <si>
    <t>Broad Market</t>
  </si>
  <si>
    <t>All Strategies</t>
  </si>
  <si>
    <t>Tracks S&amp;P 500; ultra-liquid.</t>
  </si>
  <si>
    <t>Zero single-stock risk. Best for daily (0DTE) income and high-probability CSPs.</t>
  </si>
  <si>
    <t>ADBE</t>
  </si>
  <si>
    <t>Broad Tech</t>
  </si>
  <si>
    <t>Strangles</t>
  </si>
  <si>
    <t>High-margin AI creative tools.</t>
  </si>
  <si>
    <t>High share price; "smooth" price action with low spread slippage.</t>
  </si>
  <si>
    <t>AMD</t>
  </si>
  <si>
    <t>High retail volume; volatile.</t>
  </si>
  <si>
    <t>More affordable alternative to NVDA with high premium yield.</t>
  </si>
  <si>
    <t>CSP / Wheel</t>
  </si>
  <si>
    <t>CRM</t>
  </si>
  <si>
    <t>Subscription-based cash flow.</t>
  </si>
  <si>
    <t>Low downside risk due to recurring revenue stability.</t>
  </si>
  <si>
    <t>CSCO</t>
  </si>
  <si>
    <t>CSP / CC</t>
  </si>
  <si>
    <t>Defensive; bond-like value.</t>
  </si>
  <si>
    <t>Best for conservative traders looking for very high win rates.</t>
  </si>
  <si>
    <t>ORCL</t>
  </si>
  <si>
    <t>Massive cloud backlog.</t>
  </si>
  <si>
    <t>Higher volatility than MSFT, offering better Strangle returns.</t>
  </si>
  <si>
    <t>COST</t>
  </si>
  <si>
    <t>Consumer Staples</t>
  </si>
  <si>
    <t>CSP / Iron Condors</t>
  </si>
  <si>
    <t>Strong 8.2% net sales growth; high membership renewal rates; 20%+ digital sales growth in early FY2026.</t>
  </si>
  <si>
    <t>Differentiated membership model creates recurring revenue; bulk-buying value proposition is highly attractive to cost-conscious consumers during a recession.</t>
  </si>
  <si>
    <t>PEP</t>
  </si>
  <si>
    <t>CSP / Dividend Growth</t>
  </si>
  <si>
    <t>Targeting 4-6% revenue growth; record productivity savings from automation; 53+ years of consecutive dividend increases.</t>
  </si>
  <si>
    <t>High nearly 4% yield provides a price floor; inelastic demand for snacks/beverages offers stable cash flow even in downturns.</t>
  </si>
  <si>
    <t>WMT</t>
  </si>
  <si>
    <t>Global omnichannel leader with 27%+ e-commerce growth; expanding high-margin ad and membership streams.</t>
  </si>
  <si>
    <t>Defensive giant that gains market share during recessions as consumers "trade down" to its everyday low prices.</t>
  </si>
  <si>
    <t>XOM</t>
  </si>
  <si>
    <t>Energy</t>
  </si>
  <si>
    <t>Massive buybacks &amp; FCF.</t>
  </si>
  <si>
    <t>Corporate buybacks create a "synthetic floor" for put sellers.</t>
  </si>
  <si>
    <t>JPM</t>
  </si>
  <si>
    <t>Financials</t>
  </si>
  <si>
    <t>Fortress balance sheet; 15% ROE.</t>
  </si>
  <si>
    <t>The gold standard for the "Wheel" strategy in financials.</t>
  </si>
  <si>
    <t>V</t>
  </si>
  <si>
    <t>50%+ net profit margins.</t>
  </si>
  <si>
    <t>"Toll booth" business model provides exceptional price stability.</t>
  </si>
  <si>
    <t>LLY</t>
  </si>
  <si>
    <t>Healthcare</t>
  </si>
  <si>
    <t>GLP-1 (weight loss) drug leader.</t>
  </si>
  <si>
    <t>Growth-stock premiums in a historically stable sector.</t>
  </si>
  <si>
    <t>UNH</t>
  </si>
  <si>
    <t>High share price; steady FCF.</t>
  </si>
  <si>
    <t>High dollar-value premiums per contract; very liquid.</t>
  </si>
  <si>
    <t>AAPL</t>
  </si>
  <si>
    <t>Mag 7 / IT</t>
  </si>
  <si>
    <t>Covered Calls</t>
  </si>
  <si>
    <t>$4T market cap; Services growth.</t>
  </si>
  <si>
    <t>Tightest spreads in the market; perfect for low-risk "rent" collection.</t>
  </si>
  <si>
    <t>AMZN</t>
  </si>
  <si>
    <t>AWS/Ads driving 60% of profits.</t>
  </si>
  <si>
    <t>High range-bound predictability; resists sector-wide selloffs.</t>
  </si>
  <si>
    <t>GOOGL</t>
  </si>
  <si>
    <t>Iron Condors</t>
  </si>
  <si>
    <t>Cloud profit engine; range-bound.</t>
  </si>
  <si>
    <t>Predictable behavior between technical support/resistance levels.</t>
  </si>
  <si>
    <t>META</t>
  </si>
  <si>
    <t>Credit Spreads</t>
  </si>
  <si>
    <t>Robust buybacks; high net margins.</t>
  </si>
  <si>
    <t>Strong price momentum; high premium relative to its price.</t>
  </si>
  <si>
    <t>MSFT</t>
  </si>
  <si>
    <t>$30B+ quarterly net income.</t>
  </si>
  <si>
    <t>"Safety king"; high institutional support creates strong price floors.</t>
  </si>
  <si>
    <t>NVDA</t>
  </si>
  <si>
    <t>Strangles / CC</t>
  </si>
  <si>
    <t>High IV; $500B+ AI order backlog.</t>
  </si>
  <si>
    <t>Highest premium yield; deep liquidity for rolling trades.</t>
  </si>
  <si>
    <t>TSLA</t>
  </si>
  <si>
    <t>CC / CSP</t>
  </si>
  <si>
    <t>Extremely high IV; high beta.</t>
  </si>
  <si>
    <t>Maximum income potential; best for aggressive cost-basis reduction.</t>
  </si>
  <si>
    <t>QQQ</t>
  </si>
  <si>
    <t>Tech Index</t>
  </si>
  <si>
    <t>Tracks Nasdaq 100; higher IV than SPY.</t>
  </si>
  <si>
    <t>Captures tech growth volatility without the risk of a single company failing.</t>
  </si>
  <si>
    <t>GSD</t>
  </si>
  <si>
    <t>Physical Gold ETF (Bullion-backed)</t>
  </si>
  <si>
    <t>Wealth preservation &amp; Portfolio insurance</t>
  </si>
  <si>
    <t>Bullish Outlook: Price targets are pushing toward $5,000/oz by Q4 2026.</t>
  </si>
  <si>
    <t>Diversification: High liquidity and low correlation to traditional stocks.</t>
  </si>
  <si>
    <t xml:space="preserve">todo </t>
  </si>
  <si>
    <t>get cash amt</t>
  </si>
  <si>
    <t>update github actions</t>
  </si>
  <si>
    <t>Reserve: Cash</t>
  </si>
  <si>
    <t>Alpha &amp; Insurance (The Circuit Breaker)</t>
  </si>
  <si>
    <t>The Sniper (theme stocks)</t>
  </si>
  <si>
    <t>Reserve: Gold</t>
  </si>
  <si>
    <t>Biotic (HEAL)</t>
  </si>
  <si>
    <t>Global ETF (The stragic core)</t>
  </si>
  <si>
    <t>Income Strategy (The wheel)</t>
  </si>
  <si>
    <t>VWRA/VT: The concrete foundation. ES3/DHL: The income pillars (Stability/Cash Flow). 82846: The growth pillar (China exposure).</t>
  </si>
  <si>
    <t>82846 (china etf)</t>
  </si>
  <si>
    <t>DHL (dividend)</t>
  </si>
  <si>
    <t>ES3 (singapore banks)</t>
  </si>
  <si>
    <t>VWRA (VT USD)</t>
  </si>
  <si>
    <t>VWCE (VT EUR)</t>
  </si>
  <si>
    <t>The Hedge (buy puts QQQ -15% OTM)</t>
  </si>
  <si>
    <t>Actual</t>
  </si>
  <si>
    <t>Total</t>
  </si>
  <si>
    <t>Invested</t>
  </si>
  <si>
    <t>Cash</t>
  </si>
  <si>
    <t xml:space="preserve">Actual %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</si>
</sst>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&quot;$&quot;* #,##0_);_(&quot;$&quot;* \(#,##0\);_(&quot;$&quot;* &quot;-&quot;??_);_(@_)"/>
    <numFmt numFmtId="166" formatCode="_(* #,##0_);_(* \(#,##0\);_(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onsolas"/>
      <family val="2"/>
    </font>
    <font>
      <b/>
      <sz val="12"/>
      <color theme="1"/>
      <name val="Consolas"/>
      <family val="2"/>
    </font>
    <font>
      <sz val="18"/>
      <color theme="1"/>
      <name val="Consolas"/>
      <family val="2"/>
    </font>
    <font>
      <sz val="12"/>
      <color rgb="FF1F1F1F"/>
      <name val="Consolas"/>
      <family val="2"/>
    </font>
    <font>
      <i/>
      <sz val="12"/>
      <color theme="1"/>
      <name val="Consolas"/>
      <family val="2"/>
    </font>
    <font>
      <i/>
      <sz val="10"/>
      <color theme="1"/>
      <name val="Consolas"/>
      <family val="2"/>
    </font>
    <font>
      <sz val="11"/>
      <color rgb="FF000000"/>
      <name val="Calibri"/>
      <family val="2"/>
    </font>
    <font>
      <i/>
      <sz val="12"/>
      <color theme="1" tint="0.14999847407452621"/>
      <name val="Consolas"/>
      <family val="2"/>
    </font>
    <font>
      <b/>
      <sz val="12"/>
      <name val="Consolas"/>
      <family val="2"/>
    </font>
    <font>
      <sz val="10"/>
      <color theme="1"/>
      <name val="Consolas"/>
      <family val="2"/>
    </font>
    <font>
      <b/>
      <sz val="10"/>
      <color theme="1"/>
      <name val="Consolas"/>
      <family val="2"/>
    </font>
    <font>
      <sz val="9"/>
      <color theme="1"/>
      <name val="Consolas"/>
      <family val="2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44" fontId="1" fillId="0" borderId="0"/>
    <xf numFmtId="9" fontId="1" fillId="0" borderId="0"/>
    <xf numFmtId="43" fontId="1" fillId="0" borderId="0" applyFont="0" applyFill="0" applyBorder="0" applyAlignment="0" applyProtection="0"/>
  </cellStyleXfs>
  <cellXfs count="57">
    <xf numFmtId="0" fontId="0" fillId="0" borderId="0" xfId="0"/>
    <xf numFmtId="0" fontId="2" fillId="0" borderId="0" xfId="0" applyFont="1"/>
    <xf numFmtId="0" fontId="4" fillId="0" borderId="0" xfId="0" applyFont="1"/>
    <xf numFmtId="9" fontId="2" fillId="0" borderId="0" xfId="0" applyNumberFormat="1" applyFont="1"/>
    <xf numFmtId="10" fontId="2" fillId="0" borderId="0" xfId="0" applyNumberFormat="1" applyFont="1"/>
    <xf numFmtId="0" fontId="2" fillId="0" borderId="0" xfId="0" applyFont="1" applyAlignment="1">
      <alignment horizontal="left"/>
    </xf>
    <xf numFmtId="44" fontId="2" fillId="0" borderId="0" xfId="0" applyNumberFormat="1" applyFont="1"/>
    <xf numFmtId="0" fontId="2" fillId="0" borderId="2" xfId="0" applyFont="1" applyBorder="1"/>
    <xf numFmtId="0" fontId="5" fillId="0" borderId="2" xfId="0" applyFont="1" applyBorder="1"/>
    <xf numFmtId="0" fontId="2" fillId="0" borderId="3" xfId="0" applyFont="1" applyBorder="1"/>
    <xf numFmtId="164" fontId="2" fillId="0" borderId="3" xfId="0" applyNumberFormat="1" applyFont="1" applyBorder="1"/>
    <xf numFmtId="44" fontId="2" fillId="0" borderId="3" xfId="0" applyNumberFormat="1" applyFont="1" applyBorder="1"/>
    <xf numFmtId="9" fontId="2" fillId="0" borderId="0" xfId="2" applyFont="1"/>
    <xf numFmtId="0" fontId="3" fillId="0" borderId="0" xfId="0" applyFont="1"/>
    <xf numFmtId="0" fontId="9" fillId="0" borderId="0" xfId="0" applyFont="1"/>
    <xf numFmtId="0" fontId="6" fillId="0" borderId="0" xfId="0" applyFont="1"/>
    <xf numFmtId="0" fontId="7" fillId="0" borderId="0" xfId="0" applyFont="1"/>
    <xf numFmtId="0" fontId="2" fillId="0" borderId="0" xfId="0" applyFont="1" applyAlignment="1">
      <alignment wrapText="1"/>
    </xf>
    <xf numFmtId="0" fontId="3" fillId="0" borderId="1" xfId="0" applyFont="1" applyBorder="1" applyAlignment="1">
      <alignment horizontal="center"/>
    </xf>
    <xf numFmtId="0" fontId="11" fillId="0" borderId="0" xfId="0" applyFont="1"/>
    <xf numFmtId="0" fontId="12" fillId="0" borderId="0" xfId="0" applyFont="1"/>
    <xf numFmtId="165" fontId="12" fillId="0" borderId="0" xfId="1" applyNumberFormat="1" applyFont="1"/>
    <xf numFmtId="165" fontId="12" fillId="0" borderId="0" xfId="0" applyNumberFormat="1" applyFont="1"/>
    <xf numFmtId="0" fontId="13" fillId="0" borderId="0" xfId="0" applyFont="1"/>
    <xf numFmtId="166" fontId="11" fillId="0" borderId="0" xfId="3" applyNumberFormat="1" applyFont="1"/>
    <xf numFmtId="10" fontId="14" fillId="0" borderId="0" xfId="2" applyNumberFormat="1" applyFont="1"/>
    <xf numFmtId="165" fontId="3" fillId="0" borderId="0" xfId="1" applyNumberFormat="1" applyFont="1"/>
    <xf numFmtId="165" fontId="9" fillId="0" borderId="0" xfId="1" applyNumberFormat="1" applyFont="1"/>
    <xf numFmtId="165" fontId="6" fillId="0" borderId="0" xfId="1" applyNumberFormat="1" applyFont="1"/>
    <xf numFmtId="9" fontId="3" fillId="0" borderId="0" xfId="2" applyFont="1"/>
    <xf numFmtId="9" fontId="9" fillId="0" borderId="0" xfId="2" applyFont="1"/>
    <xf numFmtId="9" fontId="6" fillId="0" borderId="0" xfId="2" applyFont="1"/>
    <xf numFmtId="0" fontId="3" fillId="0" borderId="5" xfId="0" applyFont="1" applyBorder="1"/>
    <xf numFmtId="44" fontId="3" fillId="0" borderId="5" xfId="1" applyFont="1" applyBorder="1"/>
    <xf numFmtId="44" fontId="2" fillId="0" borderId="0" xfId="1" applyFont="1"/>
    <xf numFmtId="0" fontId="3" fillId="0" borderId="4" xfId="0" applyFont="1" applyBorder="1" applyAlignment="1">
      <alignment horizontal="center"/>
    </xf>
    <xf numFmtId="165" fontId="3" fillId="0" borderId="5" xfId="1" applyNumberFormat="1" applyFont="1" applyBorder="1"/>
    <xf numFmtId="165" fontId="9" fillId="0" borderId="5" xfId="1" applyNumberFormat="1" applyFont="1" applyBorder="1"/>
    <xf numFmtId="165" fontId="6" fillId="0" borderId="5" xfId="1" applyNumberFormat="1" applyFont="1" applyBorder="1"/>
    <xf numFmtId="165" fontId="3" fillId="0" borderId="4" xfId="1" applyNumberFormat="1" applyFont="1" applyBorder="1"/>
    <xf numFmtId="165" fontId="10" fillId="2" borderId="1" xfId="1" applyNumberFormat="1" applyFont="1" applyFill="1" applyBorder="1"/>
    <xf numFmtId="0" fontId="2" fillId="0" borderId="7" xfId="0" applyFont="1" applyBorder="1"/>
    <xf numFmtId="44" fontId="2" fillId="0" borderId="7" xfId="1" applyFont="1" applyBorder="1"/>
    <xf numFmtId="0" fontId="3" fillId="0" borderId="8" xfId="0" applyFont="1" applyBorder="1" applyAlignment="1">
      <alignment horizontal="center"/>
    </xf>
    <xf numFmtId="9" fontId="3" fillId="0" borderId="7" xfId="2" applyFont="1" applyBorder="1"/>
    <xf numFmtId="9" fontId="9" fillId="0" borderId="7" xfId="2" applyFont="1" applyBorder="1"/>
    <xf numFmtId="9" fontId="6" fillId="0" borderId="7" xfId="2" applyFont="1" applyBorder="1"/>
    <xf numFmtId="9" fontId="3" fillId="0" borderId="8" xfId="2" applyFont="1" applyBorder="1"/>
    <xf numFmtId="0" fontId="2" fillId="0" borderId="9" xfId="0" applyFont="1" applyBorder="1"/>
    <xf numFmtId="0" fontId="3" fillId="0" borderId="6" xfId="0" applyFont="1" applyBorder="1"/>
    <xf numFmtId="0" fontId="3" fillId="0" borderId="9" xfId="0" applyFont="1" applyBorder="1"/>
    <xf numFmtId="0" fontId="6" fillId="0" borderId="9" xfId="0" applyFont="1" applyBorder="1" applyAlignment="1">
      <alignment horizontal="left" indent="4"/>
    </xf>
    <xf numFmtId="0" fontId="2" fillId="0" borderId="5" xfId="0" applyFont="1" applyBorder="1"/>
    <xf numFmtId="165" fontId="3" fillId="0" borderId="5" xfId="0" applyNumberFormat="1" applyFont="1" applyBorder="1"/>
    <xf numFmtId="165" fontId="9" fillId="0" borderId="5" xfId="0" applyNumberFormat="1" applyFont="1" applyBorder="1"/>
    <xf numFmtId="165" fontId="6" fillId="0" borderId="5" xfId="0" applyNumberFormat="1" applyFont="1" applyBorder="1"/>
    <xf numFmtId="165" fontId="3" fillId="0" borderId="4" xfId="0" applyNumberFormat="1" applyFont="1" applyBorder="1"/>
  </cellXfs>
  <cellStyles count="4">
    <cellStyle name="Comma" xfId="3" builtinId="3"/>
    <cellStyle name="Currency" xfId="1" builtinId="4"/>
    <cellStyle name="Normal" xfId="0" builtinId="0"/>
    <cellStyle name="Per cent" xfId="2" builtinId="5"/>
  </cellStyles>
  <dxfs count="40"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mruColors>
      <color rgb="FFFF7E79"/>
      <color rgb="FFFF2600"/>
      <color rgb="FFFFFD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Dashboard!$B$49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Dashboard!$A$50:$A$56</c:f>
              <c:strCache>
                <c:ptCount val="7"/>
                <c:pt idx="0">
                  <c:v>Global ETF (The stragic core)</c:v>
                </c:pt>
                <c:pt idx="1">
                  <c:v>Growth Engine (The five horseman)</c:v>
                </c:pt>
                <c:pt idx="2">
                  <c:v>Income Strategy (The wheel)</c:v>
                </c:pt>
                <c:pt idx="3">
                  <c:v>The Sniper (theme stocks)</c:v>
                </c:pt>
                <c:pt idx="4">
                  <c:v>The Hedge (buy puts QQQ -15% OTM)</c:v>
                </c:pt>
                <c:pt idx="5">
                  <c:v>Reserve: Gold</c:v>
                </c:pt>
                <c:pt idx="6">
                  <c:v>Reserve: Cash</c:v>
                </c:pt>
              </c:strCache>
            </c:strRef>
          </c:cat>
          <c:val>
            <c:numRef>
              <c:f>Dashboard!$B$50:$B$56</c:f>
              <c:numCache>
                <c:formatCode>_("$"* #,##0_);_("$"* \(#,##0\);_("$"* "-"??_);_(@_)</c:formatCode>
                <c:ptCount val="7"/>
                <c:pt idx="0">
                  <c:v>300948.26328000001</c:v>
                </c:pt>
                <c:pt idx="1">
                  <c:v>300948.26328000001</c:v>
                </c:pt>
                <c:pt idx="2">
                  <c:v>250790.2194</c:v>
                </c:pt>
                <c:pt idx="3">
                  <c:v>25079.021940000002</c:v>
                </c:pt>
                <c:pt idx="4">
                  <c:v>25079.021940000002</c:v>
                </c:pt>
                <c:pt idx="5">
                  <c:v>30094.826327999999</c:v>
                </c:pt>
                <c:pt idx="6">
                  <c:v>70221.261432000014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EB-B049-85E5-F5553A4B093C}"/>
            </c:ext>
          </c:extLst>
        </c:ser>
        <c:ser>
          <c:idx val="1"/>
          <c:order val="1"/>
          <c:tx>
            <c:strRef>
              <c:f>Dashboard!$C$49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Dashboard!$A$50:$A$56</c:f>
              <c:strCache>
                <c:ptCount val="7"/>
                <c:pt idx="0">
                  <c:v>Global ETF (The stragic core)</c:v>
                </c:pt>
                <c:pt idx="1">
                  <c:v>Growth Engine (The five horseman)</c:v>
                </c:pt>
                <c:pt idx="2">
                  <c:v>Income Strategy (The wheel)</c:v>
                </c:pt>
                <c:pt idx="3">
                  <c:v>The Sniper (theme stocks)</c:v>
                </c:pt>
                <c:pt idx="4">
                  <c:v>The Hedge (buy puts QQQ -15% OTM)</c:v>
                </c:pt>
                <c:pt idx="5">
                  <c:v>Reserve: Gold</c:v>
                </c:pt>
                <c:pt idx="6">
                  <c:v>Reserve: Cash</c:v>
                </c:pt>
              </c:strCache>
            </c:strRef>
          </c:cat>
          <c:val>
            <c:numRef>
              <c:f>Dashboard!$C$50:$C$56</c:f>
              <c:numCache>
                <c:formatCode>_("$"* #,##0_);_("$"* \(#,##0\);_("$"* "-"??_);_(@_)</c:formatCode>
                <c:ptCount val="7"/>
                <c:pt idx="0">
                  <c:v>430686.3505</c:v>
                </c:pt>
                <c:pt idx="1">
                  <c:v>131581.08000000002</c:v>
                </c:pt>
                <c:pt idx="2">
                  <c:v>174524</c:v>
                </c:pt>
                <c:pt idx="3">
                  <c:v>35010.633599999972</c:v>
                </c:pt>
                <c:pt idx="4">
                  <c:v>4975.76</c:v>
                </c:pt>
                <c:pt idx="5">
                  <c:v>27241.483500000002</c:v>
                </c:pt>
                <c:pt idx="6">
                  <c:v>209093.09000000003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EB-B049-85E5-F5553A4B093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687657343"/>
        <c:axId val="687667199"/>
      </c:barChart>
      <c:catAx>
        <c:axId val="68765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667199"/>
        <c:crosses val="autoZero"/>
        <c:auto val="1"/>
        <c:lblAlgn val="ctr"/>
        <c:lblOffset val="100"/>
        <c:noMultiLvlLbl val="0"/>
      </c:catAx>
      <c:valAx>
        <c:axId val="687667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657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7CA-4240-A0C1-E5FBA5DBA144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57CA-4240-A0C1-E5FBA5DBA144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57CA-4240-A0C1-E5FBA5DBA144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57CA-4240-A0C1-E5FBA5DBA1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(Dashboard!$F$41,Dashboard!$F$43)</c:f>
              <c:strCache>
                <c:ptCount val="2"/>
                <c:pt idx="0">
                  <c:v>Invested</c:v>
                </c:pt>
                <c:pt idx="1">
                  <c:v>Cash</c:v>
                </c:pt>
              </c:strCache>
            </c:strRef>
          </c:cat>
          <c:val>
            <c:numRef>
              <c:f>(Dashboard!$G$41,Dashboard!$G$43)</c:f>
              <c:numCache>
                <c:formatCode>0.00%</c:formatCode>
                <c:ptCount val="2"/>
                <c:pt idx="0">
                  <c:v>0.79156574516717371</c:v>
                </c:pt>
                <c:pt idx="1">
                  <c:v>0.20843425483282627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CA-4240-A0C1-E5FBA5DBA144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146050</xdr:colOff>
      <xdr:row>22</xdr:row>
      <xdr:rowOff>101600</xdr:rowOff>
    </xdr:from>
    <xdr:to>
      <xdr:col>4</xdr:col>
      <xdr:colOff>1219200</xdr:colOff>
      <xdr:row>46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F781D2-B9A2-D72A-0057-2784E88FE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12700</xdr:colOff>
      <xdr:row>22</xdr:row>
      <xdr:rowOff>88900</xdr:rowOff>
    </xdr:from>
    <xdr:to>
      <xdr:col>8</xdr:col>
      <xdr:colOff>12700</xdr:colOff>
      <xdr:row>35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697EC8-4EFA-6C90-F231-0485031FE2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hongkiatkoh/Desktop/timeless-workspace/timeless-workspace/projects/fetch-ibkr-positions.xlsx" TargetMode="External"/><Relationship Id="rId1" Type="http://schemas.openxmlformats.org/officeDocument/2006/relationships/externalLinkPath" Target="fetch-ibkr-posi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sitionsHK"/>
      <sheetName val="PositionsAL"/>
      <sheetName val="Summary"/>
      <sheetName val="Metadata"/>
    </sheetNames>
    <sheetDataSet>
      <sheetData sheetId="0">
        <row r="1">
          <cell r="D1" t="str">
            <v>AssetClass</v>
          </cell>
          <cell r="F1" t="str">
            <v>Symbol</v>
          </cell>
          <cell r="T1" t="str">
            <v>Side</v>
          </cell>
          <cell r="V1" t="str">
            <v>PositionValueUSD</v>
          </cell>
        </row>
        <row r="2">
          <cell r="D2" t="str">
            <v>STK</v>
          </cell>
          <cell r="F2" t="str">
            <v>82846</v>
          </cell>
          <cell r="T2" t="str">
            <v>Long</v>
          </cell>
          <cell r="V2">
            <v>4541.7996000000003</v>
          </cell>
        </row>
        <row r="3">
          <cell r="D3" t="str">
            <v>STK</v>
          </cell>
          <cell r="F3" t="str">
            <v>RMS</v>
          </cell>
          <cell r="T3" t="str">
            <v>Long</v>
          </cell>
          <cell r="V3">
            <v>7558.0920000000006</v>
          </cell>
        </row>
        <row r="4">
          <cell r="D4" t="str">
            <v>STK</v>
          </cell>
          <cell r="F4" t="str">
            <v>ES3</v>
          </cell>
          <cell r="T4" t="str">
            <v>Long</v>
          </cell>
          <cell r="V4">
            <v>19536.821499999998</v>
          </cell>
        </row>
        <row r="5">
          <cell r="D5" t="str">
            <v>STK</v>
          </cell>
          <cell r="F5" t="str">
            <v>GSD</v>
          </cell>
          <cell r="T5" t="str">
            <v>Long</v>
          </cell>
          <cell r="V5">
            <v>22701.236250000002</v>
          </cell>
        </row>
        <row r="6">
          <cell r="D6" t="str">
            <v>STK</v>
          </cell>
          <cell r="F6" t="str">
            <v>AMZN</v>
          </cell>
          <cell r="T6" t="str">
            <v>Long</v>
          </cell>
          <cell r="V6">
            <v>23916</v>
          </cell>
        </row>
        <row r="7">
          <cell r="D7" t="str">
            <v>STK</v>
          </cell>
          <cell r="F7" t="str">
            <v>BITO</v>
          </cell>
          <cell r="T7" t="str">
            <v>Long</v>
          </cell>
          <cell r="V7">
            <v>1240</v>
          </cell>
        </row>
        <row r="8">
          <cell r="D8" t="str">
            <v>STK</v>
          </cell>
          <cell r="F8" t="str">
            <v>CELH</v>
          </cell>
          <cell r="T8" t="str">
            <v>Long</v>
          </cell>
          <cell r="V8">
            <v>2797</v>
          </cell>
        </row>
        <row r="9">
          <cell r="D9" t="str">
            <v>STK</v>
          </cell>
          <cell r="F9" t="str">
            <v>CHA</v>
          </cell>
          <cell r="T9" t="str">
            <v>Long</v>
          </cell>
          <cell r="V9">
            <v>1227</v>
          </cell>
        </row>
        <row r="10">
          <cell r="D10" t="str">
            <v>STK</v>
          </cell>
          <cell r="F10" t="str">
            <v>CSNDX</v>
          </cell>
          <cell r="T10" t="str">
            <v>Long</v>
          </cell>
          <cell r="V10">
            <v>22062</v>
          </cell>
        </row>
        <row r="11">
          <cell r="D11" t="str">
            <v>STK</v>
          </cell>
          <cell r="F11" t="str">
            <v>CTEC</v>
          </cell>
          <cell r="T11" t="str">
            <v>Long</v>
          </cell>
          <cell r="V11">
            <v>11052</v>
          </cell>
        </row>
        <row r="12">
          <cell r="D12" t="str">
            <v>STK</v>
          </cell>
          <cell r="F12" t="str">
            <v>GOOGL</v>
          </cell>
          <cell r="T12" t="str">
            <v>Long</v>
          </cell>
          <cell r="V12">
            <v>32793</v>
          </cell>
        </row>
        <row r="13">
          <cell r="D13" t="str">
            <v>STK</v>
          </cell>
          <cell r="F13" t="str">
            <v>GRAB</v>
          </cell>
          <cell r="T13" t="str">
            <v>Long</v>
          </cell>
          <cell r="V13">
            <v>2290</v>
          </cell>
        </row>
        <row r="14">
          <cell r="D14" t="str">
            <v>STK</v>
          </cell>
          <cell r="F14" t="str">
            <v>HEAL</v>
          </cell>
          <cell r="T14" t="str">
            <v>Long</v>
          </cell>
          <cell r="V14">
            <v>9495</v>
          </cell>
        </row>
        <row r="15">
          <cell r="D15" t="str">
            <v>STK</v>
          </cell>
          <cell r="F15" t="str">
            <v>INRA</v>
          </cell>
          <cell r="T15" t="str">
            <v>Long</v>
          </cell>
          <cell r="V15">
            <v>10398.540000000001</v>
          </cell>
        </row>
        <row r="16">
          <cell r="D16" t="str">
            <v>STK</v>
          </cell>
          <cell r="F16" t="str">
            <v>LKNCY</v>
          </cell>
          <cell r="T16" t="str">
            <v>Long</v>
          </cell>
          <cell r="V16">
            <v>1671</v>
          </cell>
        </row>
        <row r="17">
          <cell r="D17" t="str">
            <v>STK</v>
          </cell>
          <cell r="F17" t="str">
            <v>LOCK</v>
          </cell>
          <cell r="T17" t="str">
            <v>Long</v>
          </cell>
          <cell r="V17">
            <v>10020</v>
          </cell>
        </row>
        <row r="18">
          <cell r="D18" t="str">
            <v>STK</v>
          </cell>
          <cell r="F18" t="str">
            <v>MELI</v>
          </cell>
          <cell r="T18" t="str">
            <v>Long</v>
          </cell>
          <cell r="V18">
            <v>2137.29</v>
          </cell>
        </row>
        <row r="19">
          <cell r="D19" t="str">
            <v>STK</v>
          </cell>
          <cell r="F19" t="str">
            <v>NVDA</v>
          </cell>
          <cell r="T19" t="str">
            <v>Long</v>
          </cell>
          <cell r="V19">
            <v>37534</v>
          </cell>
        </row>
        <row r="20">
          <cell r="D20" t="str">
            <v>STK</v>
          </cell>
          <cell r="F20" t="str">
            <v>ORCL</v>
          </cell>
          <cell r="T20" t="str">
            <v>Long</v>
          </cell>
          <cell r="V20">
            <v>17716</v>
          </cell>
        </row>
        <row r="21">
          <cell r="D21" t="str">
            <v>STK</v>
          </cell>
          <cell r="F21" t="str">
            <v>SE</v>
          </cell>
          <cell r="T21" t="str">
            <v>Long</v>
          </cell>
          <cell r="V21">
            <v>1247.8</v>
          </cell>
        </row>
        <row r="22">
          <cell r="D22" t="str">
            <v>STK</v>
          </cell>
          <cell r="F22" t="str">
            <v>VWRA</v>
          </cell>
          <cell r="T22" t="str">
            <v>Long</v>
          </cell>
          <cell r="V22">
            <v>104244</v>
          </cell>
        </row>
        <row r="23">
          <cell r="D23" t="str">
            <v>OPT</v>
          </cell>
          <cell r="F23" t="str">
            <v>JPM   260206P00320000</v>
          </cell>
          <cell r="T23" t="str">
            <v>Long</v>
          </cell>
          <cell r="V23">
            <v>2232.7600000000002</v>
          </cell>
        </row>
        <row r="24">
          <cell r="D24" t="str">
            <v>OPT</v>
          </cell>
          <cell r="F24" t="str">
            <v>QQQ   260220P00605000</v>
          </cell>
          <cell r="T24" t="str">
            <v>Long</v>
          </cell>
          <cell r="V24">
            <v>634</v>
          </cell>
        </row>
        <row r="25">
          <cell r="D25" t="str">
            <v>FOP</v>
          </cell>
          <cell r="F25" t="str">
            <v>EW2G6 P6525</v>
          </cell>
          <cell r="T25" t="str">
            <v>Long</v>
          </cell>
          <cell r="V25">
            <v>1375</v>
          </cell>
        </row>
        <row r="26">
          <cell r="D26" t="str">
            <v>FOP</v>
          </cell>
          <cell r="F26" t="str">
            <v>EW2G6 C7300</v>
          </cell>
          <cell r="T26" t="str">
            <v>Long</v>
          </cell>
          <cell r="V26">
            <v>100</v>
          </cell>
        </row>
        <row r="27">
          <cell r="D27" t="str">
            <v>OPT</v>
          </cell>
          <cell r="F27" t="str">
            <v>AMZN  260220P00215000</v>
          </cell>
          <cell r="T27" t="str">
            <v>Short</v>
          </cell>
          <cell r="V27">
            <v>-260.5</v>
          </cell>
        </row>
        <row r="28">
          <cell r="D28" t="str">
            <v>OPT</v>
          </cell>
          <cell r="F28" t="str">
            <v>AMZN  260227C00255000</v>
          </cell>
          <cell r="T28" t="str">
            <v>Short</v>
          </cell>
          <cell r="V28">
            <v>-549.94000000000005</v>
          </cell>
        </row>
        <row r="29">
          <cell r="D29" t="str">
            <v>OPT</v>
          </cell>
          <cell r="F29" t="str">
            <v>GOOGL 260227P00310000</v>
          </cell>
          <cell r="T29" t="str">
            <v>Short</v>
          </cell>
          <cell r="V29">
            <v>-697.5</v>
          </cell>
        </row>
        <row r="30">
          <cell r="D30" t="str">
            <v>OPT</v>
          </cell>
          <cell r="F30" t="str">
            <v>GOOGL 260227C00370000</v>
          </cell>
          <cell r="T30" t="str">
            <v>Short</v>
          </cell>
          <cell r="V30">
            <v>-278</v>
          </cell>
        </row>
        <row r="31">
          <cell r="D31" t="str">
            <v>OPT</v>
          </cell>
          <cell r="F31" t="str">
            <v>JPM   260206P00300000</v>
          </cell>
          <cell r="T31" t="str">
            <v>Short</v>
          </cell>
          <cell r="V31">
            <v>-607.91999999999996</v>
          </cell>
        </row>
        <row r="32">
          <cell r="D32" t="str">
            <v>OPT</v>
          </cell>
          <cell r="F32" t="str">
            <v>NVDA  260130C00195000</v>
          </cell>
          <cell r="T32" t="str">
            <v>Short</v>
          </cell>
          <cell r="V32">
            <v>-223</v>
          </cell>
        </row>
        <row r="33">
          <cell r="D33" t="str">
            <v>OPT</v>
          </cell>
          <cell r="F33" t="str">
            <v>ORCL  260220C00200000</v>
          </cell>
          <cell r="T33" t="str">
            <v>Short</v>
          </cell>
          <cell r="V33">
            <v>-236.5</v>
          </cell>
        </row>
        <row r="34">
          <cell r="D34" t="str">
            <v>OPT</v>
          </cell>
          <cell r="F34" t="str">
            <v>QQQ   260220P00570000</v>
          </cell>
          <cell r="T34" t="str">
            <v>Short</v>
          </cell>
          <cell r="V34">
            <v>-189.5</v>
          </cell>
        </row>
        <row r="35">
          <cell r="D35" t="str">
            <v>FOP</v>
          </cell>
          <cell r="F35" t="str">
            <v>EW2G6 P6625</v>
          </cell>
          <cell r="T35" t="str">
            <v>Short</v>
          </cell>
          <cell r="V35">
            <v>-2075</v>
          </cell>
        </row>
        <row r="36">
          <cell r="D36" t="str">
            <v>FOP</v>
          </cell>
          <cell r="F36" t="str">
            <v>EW2G6 C7200</v>
          </cell>
          <cell r="T36" t="str">
            <v>Short</v>
          </cell>
          <cell r="V36">
            <v>-440</v>
          </cell>
        </row>
      </sheetData>
      <sheetData sheetId="1">
        <row r="1">
          <cell r="D1" t="str">
            <v>AssetClass</v>
          </cell>
          <cell r="F1" t="str">
            <v>Symbol</v>
          </cell>
          <cell r="T1" t="str">
            <v>Side</v>
          </cell>
          <cell r="V1" t="str">
            <v>PositionValueUSD</v>
          </cell>
        </row>
        <row r="2">
          <cell r="D2" t="str">
            <v>STK</v>
          </cell>
          <cell r="F2" t="str">
            <v>DHL</v>
          </cell>
          <cell r="T2" t="str">
            <v>Long</v>
          </cell>
          <cell r="V2">
            <v>54408.800000000003</v>
          </cell>
        </row>
        <row r="3">
          <cell r="D3" t="str">
            <v>STK</v>
          </cell>
          <cell r="F3" t="str">
            <v>MC</v>
          </cell>
          <cell r="T3" t="str">
            <v>Long</v>
          </cell>
          <cell r="V3">
            <v>3497.5396000000001</v>
          </cell>
        </row>
        <row r="4">
          <cell r="D4" t="str">
            <v>STK</v>
          </cell>
          <cell r="F4" t="str">
            <v>RMS</v>
          </cell>
          <cell r="T4" t="str">
            <v>Long</v>
          </cell>
          <cell r="V4">
            <v>7558.0920000000006</v>
          </cell>
        </row>
        <row r="5">
          <cell r="D5" t="str">
            <v>STK</v>
          </cell>
          <cell r="F5" t="str">
            <v>VWCE</v>
          </cell>
          <cell r="T5" t="str">
            <v>Long</v>
          </cell>
          <cell r="V5">
            <v>69889.286399999997</v>
          </cell>
        </row>
        <row r="6">
          <cell r="D6" t="str">
            <v>STK</v>
          </cell>
          <cell r="F6" t="str">
            <v>ES3</v>
          </cell>
          <cell r="T6" t="str">
            <v>Long</v>
          </cell>
          <cell r="V6">
            <v>39073.642999999996</v>
          </cell>
        </row>
        <row r="7">
          <cell r="D7" t="str">
            <v>STK</v>
          </cell>
          <cell r="F7" t="str">
            <v>GSD</v>
          </cell>
          <cell r="T7" t="str">
            <v>Long</v>
          </cell>
          <cell r="V7">
            <v>4540.2472500000003</v>
          </cell>
        </row>
        <row r="8">
          <cell r="D8" t="str">
            <v>STK</v>
          </cell>
          <cell r="F8" t="str">
            <v>BITO</v>
          </cell>
          <cell r="T8" t="str">
            <v>Long</v>
          </cell>
          <cell r="V8">
            <v>2480</v>
          </cell>
        </row>
        <row r="9">
          <cell r="D9" t="str">
            <v>STK</v>
          </cell>
          <cell r="F9" t="str">
            <v>CSNDX</v>
          </cell>
          <cell r="T9" t="str">
            <v>Long</v>
          </cell>
          <cell r="V9">
            <v>22062</v>
          </cell>
        </row>
        <row r="10">
          <cell r="D10" t="str">
            <v>STK</v>
          </cell>
          <cell r="F10" t="str">
            <v>CTEC</v>
          </cell>
          <cell r="T10" t="str">
            <v>Long</v>
          </cell>
          <cell r="V10">
            <v>16578</v>
          </cell>
        </row>
        <row r="11">
          <cell r="D11" t="str">
            <v>STK</v>
          </cell>
          <cell r="F11" t="str">
            <v>GOOGL</v>
          </cell>
          <cell r="T11" t="str">
            <v>Long</v>
          </cell>
          <cell r="V11">
            <v>32793</v>
          </cell>
        </row>
        <row r="12">
          <cell r="D12" t="str">
            <v>STK</v>
          </cell>
          <cell r="F12" t="str">
            <v>HEAL</v>
          </cell>
          <cell r="T12" t="str">
            <v>Long</v>
          </cell>
          <cell r="V12">
            <v>9495</v>
          </cell>
        </row>
        <row r="13">
          <cell r="D13" t="str">
            <v>STK</v>
          </cell>
          <cell r="F13" t="str">
            <v>IBKR</v>
          </cell>
          <cell r="T13" t="str">
            <v>Long</v>
          </cell>
          <cell r="V13">
            <v>1306.82</v>
          </cell>
        </row>
        <row r="14">
          <cell r="D14" t="str">
            <v>STK</v>
          </cell>
          <cell r="F14" t="str">
            <v>INRA</v>
          </cell>
          <cell r="T14" t="str">
            <v>Long</v>
          </cell>
          <cell r="V14">
            <v>10398.540000000001</v>
          </cell>
        </row>
        <row r="15">
          <cell r="D15" t="str">
            <v>STK</v>
          </cell>
          <cell r="F15" t="str">
            <v>JPM</v>
          </cell>
          <cell r="T15" t="str">
            <v>Long</v>
          </cell>
          <cell r="V15">
            <v>29772</v>
          </cell>
        </row>
        <row r="16">
          <cell r="D16" t="str">
            <v>STK</v>
          </cell>
          <cell r="F16" t="str">
            <v>LOCK</v>
          </cell>
          <cell r="T16" t="str">
            <v>Long</v>
          </cell>
          <cell r="V16">
            <v>10020</v>
          </cell>
        </row>
        <row r="17">
          <cell r="D17" t="str">
            <v>STK</v>
          </cell>
          <cell r="F17" t="str">
            <v>VWRA</v>
          </cell>
          <cell r="T17" t="str">
            <v>Long</v>
          </cell>
          <cell r="V17">
            <v>138992</v>
          </cell>
        </row>
        <row r="18">
          <cell r="D18" t="str">
            <v>OPT</v>
          </cell>
          <cell r="F18" t="str">
            <v>QQQ   260220P00605000</v>
          </cell>
          <cell r="T18" t="str">
            <v>Long</v>
          </cell>
          <cell r="V18">
            <v>634</v>
          </cell>
        </row>
        <row r="19">
          <cell r="D19" t="str">
            <v>OPT</v>
          </cell>
          <cell r="F19" t="str">
            <v>GOOGL 260206C00335000</v>
          </cell>
          <cell r="T19" t="str">
            <v>Short</v>
          </cell>
          <cell r="V19">
            <v>-827.5</v>
          </cell>
        </row>
        <row r="20">
          <cell r="D20" t="str">
            <v>OPT</v>
          </cell>
          <cell r="F20" t="str">
            <v>GOOGL 260220P00315000</v>
          </cell>
          <cell r="T20" t="str">
            <v>Short</v>
          </cell>
          <cell r="V20">
            <v>-767.5</v>
          </cell>
        </row>
        <row r="21">
          <cell r="D21" t="str">
            <v>OPT</v>
          </cell>
          <cell r="F21" t="str">
            <v>JPM   260206P00287500</v>
          </cell>
          <cell r="T21" t="str">
            <v>Short</v>
          </cell>
          <cell r="V21">
            <v>-169.5</v>
          </cell>
        </row>
        <row r="22">
          <cell r="D22" t="str">
            <v>OPT</v>
          </cell>
          <cell r="F22" t="str">
            <v>JPM   260206C00315000</v>
          </cell>
          <cell r="T22" t="str">
            <v>Short</v>
          </cell>
          <cell r="V22">
            <v>-58.5</v>
          </cell>
        </row>
        <row r="23">
          <cell r="D23" t="str">
            <v>OPT</v>
          </cell>
          <cell r="F23" t="str">
            <v>QQQ   260130P00608000</v>
          </cell>
          <cell r="T23" t="str">
            <v>Short</v>
          </cell>
          <cell r="V23">
            <v>-210.5</v>
          </cell>
        </row>
        <row r="24">
          <cell r="D24" t="str">
            <v>OPT</v>
          </cell>
          <cell r="F24" t="str">
            <v>QQQ   260220P00570000</v>
          </cell>
          <cell r="T24" t="str">
            <v>Short</v>
          </cell>
          <cell r="V24">
            <v>-189.5</v>
          </cell>
        </row>
      </sheetData>
      <sheetData sheetId="2">
        <row r="2">
          <cell r="C2" t="str">
            <v>$103,358.02</v>
          </cell>
        </row>
        <row r="3">
          <cell r="C3" t="str">
            <v>$105,735.07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6"/>
  <sheetViews>
    <sheetView showGridLines="0" tabSelected="1" workbookViewId="0">
      <selection activeCell="E21" sqref="E21"/>
    </sheetView>
  </sheetViews>
  <sheetFormatPr baseColWidth="10" defaultColWidth="38.6640625" defaultRowHeight="16" x14ac:dyDescent="0.2"/>
  <cols>
    <col min="1" max="1" width="47.83203125" style="1" bestFit="1" customWidth="1"/>
    <col min="2" max="2" width="9.5" style="1" bestFit="1" customWidth="1"/>
    <col min="3" max="5" width="17.6640625" style="1" customWidth="1"/>
    <col min="6" max="6" width="12.83203125" style="1" customWidth="1"/>
    <col min="7" max="8" width="17.6640625" style="1" customWidth="1"/>
    <col min="9" max="9" width="12.83203125" style="1" customWidth="1"/>
    <col min="10" max="10" width="17.6640625" style="1" customWidth="1"/>
    <col min="11" max="11" width="12.83203125" style="1" customWidth="1"/>
    <col min="12" max="12" width="153.83203125" style="1" bestFit="1" customWidth="1"/>
    <col min="13" max="13" width="38.6640625" style="1" customWidth="1"/>
    <col min="14" max="16384" width="38.6640625" style="1"/>
  </cols>
  <sheetData>
    <row r="1" spans="1:12" x14ac:dyDescent="0.2">
      <c r="A1" s="48"/>
      <c r="D1" s="32" t="s">
        <v>0</v>
      </c>
      <c r="F1" s="41"/>
      <c r="G1" s="32" t="s">
        <v>1</v>
      </c>
      <c r="I1" s="41"/>
      <c r="J1" s="52"/>
      <c r="K1" s="41"/>
    </row>
    <row r="2" spans="1:12" x14ac:dyDescent="0.2">
      <c r="A2" s="48" t="s">
        <v>2</v>
      </c>
      <c r="B2" s="12">
        <v>1</v>
      </c>
      <c r="D2" s="33">
        <f>E4+E10+E16+E20+E21+E18-E19</f>
        <v>445194.83935000008</v>
      </c>
      <c r="E2" s="34"/>
      <c r="F2" s="42"/>
      <c r="G2" s="33">
        <f>H4+H10+H16+H20+H21+H18-H19</f>
        <v>557966.03824999987</v>
      </c>
      <c r="H2" s="34"/>
      <c r="I2" s="42"/>
      <c r="J2" s="52"/>
      <c r="K2" s="41"/>
    </row>
    <row r="3" spans="1:12" x14ac:dyDescent="0.2">
      <c r="A3" s="49" t="s">
        <v>3</v>
      </c>
      <c r="B3" s="18" t="s">
        <v>4</v>
      </c>
      <c r="C3" s="18" t="s">
        <v>5</v>
      </c>
      <c r="D3" s="35" t="s">
        <v>5</v>
      </c>
      <c r="E3" s="18" t="s">
        <v>182</v>
      </c>
      <c r="F3" s="43" t="s">
        <v>186</v>
      </c>
      <c r="G3" s="35" t="s">
        <v>5</v>
      </c>
      <c r="H3" s="18" t="s">
        <v>182</v>
      </c>
      <c r="I3" s="43" t="s">
        <v>9</v>
      </c>
      <c r="J3" s="35" t="s">
        <v>8</v>
      </c>
      <c r="K3" s="43" t="s">
        <v>9</v>
      </c>
      <c r="L3" s="13" t="s">
        <v>10</v>
      </c>
    </row>
    <row r="4" spans="1:12" ht="17" x14ac:dyDescent="0.2">
      <c r="A4" s="50" t="s">
        <v>173</v>
      </c>
      <c r="B4" s="29">
        <v>0.3</v>
      </c>
      <c r="C4" s="26">
        <f>$F$40*B4</f>
        <v>300948.26328000001</v>
      </c>
      <c r="D4" s="36">
        <f>$D$2*B4</f>
        <v>133558.45180500002</v>
      </c>
      <c r="E4" s="26" cm="1">
        <f t="array" ref="E4">SUMPRODUCT(SUMIFS([1]PositionsHK!V:V,[1]PositionsHK!F:F,GlobalETF!A:A))</f>
        <v>128322.62109999999</v>
      </c>
      <c r="F4" s="44">
        <f>E4/D4</f>
        <v>0.96079745883364598</v>
      </c>
      <c r="G4" s="36">
        <f>$G$2*B4</f>
        <v>167389.81147499997</v>
      </c>
      <c r="H4" s="26" cm="1">
        <f t="array" ref="H4">SUMPRODUCT(SUMIFS([1]PositionsAL!V:V,[1]PositionsAL!F:F,GlobalETF!A:A))</f>
        <v>302363.72940000001</v>
      </c>
      <c r="I4" s="44">
        <f>H4/G4</f>
        <v>1.8063448828554221</v>
      </c>
      <c r="J4" s="53">
        <f t="shared" ref="J4:J21" si="0">E4+H4</f>
        <v>430686.3505</v>
      </c>
      <c r="K4" s="44">
        <f t="shared" ref="K4:K21" si="1">J4/C4</f>
        <v>1.4310976438474829</v>
      </c>
      <c r="L4" s="17" t="s">
        <v>175</v>
      </c>
    </row>
    <row r="5" spans="1:12" x14ac:dyDescent="0.2">
      <c r="A5" s="51" t="s">
        <v>176</v>
      </c>
      <c r="B5" s="30">
        <v>0.1</v>
      </c>
      <c r="C5" s="27">
        <f>$C$4*B5</f>
        <v>30094.826328000003</v>
      </c>
      <c r="D5" s="37">
        <f>$D$4*B5</f>
        <v>13355.845180500002</v>
      </c>
      <c r="E5" s="27">
        <f>SUMIFS([1]PositionsHK!V:V,[1]PositionsHK!F:F,"82846")</f>
        <v>4541.7996000000003</v>
      </c>
      <c r="F5" s="45">
        <f>E5/D5</f>
        <v>0.34006081521753379</v>
      </c>
      <c r="G5" s="37">
        <f>$G$4*B5</f>
        <v>16738.981147499999</v>
      </c>
      <c r="H5" s="27">
        <f>SUMIFS([1]PositionsAL!V:V,[1]PositionsAL!F:F,"82846")</f>
        <v>0</v>
      </c>
      <c r="I5" s="45">
        <f>H5/G5</f>
        <v>0</v>
      </c>
      <c r="J5" s="54">
        <f t="shared" ref="J5:J7" si="2">E5+H5</f>
        <v>4541.7996000000003</v>
      </c>
      <c r="K5" s="45">
        <f t="shared" ref="K5:K7" si="3">J5/C5</f>
        <v>0.15091629207291168</v>
      </c>
      <c r="L5" s="14"/>
    </row>
    <row r="6" spans="1:12" x14ac:dyDescent="0.2">
      <c r="A6" s="51" t="s">
        <v>177</v>
      </c>
      <c r="B6" s="30">
        <v>0.2</v>
      </c>
      <c r="C6" s="27">
        <f t="shared" ref="C6:C9" si="4">$C$4*B6</f>
        <v>60189.652656000006</v>
      </c>
      <c r="D6" s="37">
        <f t="shared" ref="D6:D9" si="5">$D$4*B6</f>
        <v>26711.690361000004</v>
      </c>
      <c r="E6" s="27">
        <f>SUMIFS([1]PositionsHK!V:V,[1]PositionsHK!F:F,"DHL")</f>
        <v>0</v>
      </c>
      <c r="F6" s="45">
        <f t="shared" ref="F6:F7" si="6">E6/D6</f>
        <v>0</v>
      </c>
      <c r="G6" s="37">
        <f t="shared" ref="G6:G9" si="7">$G$4*B6</f>
        <v>33477.962294999998</v>
      </c>
      <c r="H6" s="27">
        <f>SUMIFS([1]PositionsAL!V:V,[1]PositionsAL!F:F,"DHL")</f>
        <v>54408.800000000003</v>
      </c>
      <c r="I6" s="45">
        <f t="shared" ref="I6:I7" si="8">H6/G6</f>
        <v>1.6252124164715387</v>
      </c>
      <c r="J6" s="54">
        <f t="shared" si="2"/>
        <v>54408.800000000003</v>
      </c>
      <c r="K6" s="45">
        <f t="shared" si="3"/>
        <v>0.90395603893846799</v>
      </c>
      <c r="L6" s="14"/>
    </row>
    <row r="7" spans="1:12" x14ac:dyDescent="0.2">
      <c r="A7" s="51" t="s">
        <v>178</v>
      </c>
      <c r="B7" s="30">
        <v>0.2</v>
      </c>
      <c r="C7" s="27">
        <f t="shared" si="4"/>
        <v>60189.652656000006</v>
      </c>
      <c r="D7" s="37">
        <f t="shared" si="5"/>
        <v>26711.690361000004</v>
      </c>
      <c r="E7" s="27">
        <f>SUMIFS([1]PositionsHK!V:V,[1]PositionsHK!F:F,"ES3")</f>
        <v>19536.821499999998</v>
      </c>
      <c r="F7" s="45">
        <f t="shared" si="6"/>
        <v>0.73139592575258494</v>
      </c>
      <c r="G7" s="37">
        <f t="shared" si="7"/>
        <v>33477.962294999998</v>
      </c>
      <c r="H7" s="27">
        <f>SUMIFS([1]PositionsAL!V:V,[1]PositionsAL!F:F,"ES3")</f>
        <v>39073.642999999996</v>
      </c>
      <c r="I7" s="45">
        <f t="shared" si="8"/>
        <v>1.1671452000480844</v>
      </c>
      <c r="J7" s="54">
        <f t="shared" si="2"/>
        <v>58610.464499999995</v>
      </c>
      <c r="K7" s="45">
        <f t="shared" si="3"/>
        <v>0.97376312893803363</v>
      </c>
      <c r="L7" s="14"/>
    </row>
    <row r="8" spans="1:12" x14ac:dyDescent="0.2">
      <c r="A8" s="51" t="s">
        <v>179</v>
      </c>
      <c r="B8" s="30">
        <v>0.25</v>
      </c>
      <c r="C8" s="27">
        <f t="shared" si="4"/>
        <v>75237.065820000003</v>
      </c>
      <c r="D8" s="37">
        <f t="shared" si="5"/>
        <v>33389.612951250005</v>
      </c>
      <c r="E8" s="27">
        <f>SUMIFS([1]PositionsHK!V:V,[1]PositionsHK!F:F,"VWRA")</f>
        <v>104244</v>
      </c>
      <c r="F8" s="45">
        <f>E8/D8</f>
        <v>3.1220487686455023</v>
      </c>
      <c r="G8" s="37">
        <f t="shared" si="7"/>
        <v>41847.452868749991</v>
      </c>
      <c r="H8" s="27">
        <f>SUMIFS([1]PositionsAL!V:V,[1]PositionsAL!F:F,"VWRA")</f>
        <v>138992</v>
      </c>
      <c r="I8" s="45">
        <f>H8/G8</f>
        <v>3.3213968944760719</v>
      </c>
      <c r="J8" s="54">
        <f>E8+H8</f>
        <v>243236</v>
      </c>
      <c r="K8" s="45">
        <f>J8/C8</f>
        <v>3.2329277776718057</v>
      </c>
      <c r="L8" s="14"/>
    </row>
    <row r="9" spans="1:12" x14ac:dyDescent="0.2">
      <c r="A9" s="51" t="s">
        <v>180</v>
      </c>
      <c r="B9" s="30">
        <v>0.25</v>
      </c>
      <c r="C9" s="27">
        <f t="shared" si="4"/>
        <v>75237.065820000003</v>
      </c>
      <c r="D9" s="37">
        <f t="shared" si="5"/>
        <v>33389.612951250005</v>
      </c>
      <c r="E9" s="27">
        <f>SUMIFS([1]PositionsHK!V:V,[1]PositionsHK!F:F,"VWCE")</f>
        <v>0</v>
      </c>
      <c r="F9" s="45">
        <f>E9/D9</f>
        <v>0</v>
      </c>
      <c r="G9" s="37">
        <f t="shared" si="7"/>
        <v>41847.452868749991</v>
      </c>
      <c r="H9" s="27">
        <f>SUMIFS([1]PositionsAL!V:V,[1]PositionsAL!F:F,"VWCE")</f>
        <v>69889.286399999997</v>
      </c>
      <c r="I9" s="45">
        <f>H9/G9</f>
        <v>1.6700965437299178</v>
      </c>
      <c r="J9" s="54">
        <f>E9+H9</f>
        <v>69889.286399999997</v>
      </c>
      <c r="K9" s="45">
        <f>J9/C9</f>
        <v>0.92892094658775992</v>
      </c>
      <c r="L9" s="14"/>
    </row>
    <row r="10" spans="1:12" x14ac:dyDescent="0.2">
      <c r="A10" s="50" t="s">
        <v>11</v>
      </c>
      <c r="B10" s="29">
        <v>0.3</v>
      </c>
      <c r="C10" s="26">
        <f>$F$40*B10</f>
        <v>300948.26328000001</v>
      </c>
      <c r="D10" s="36">
        <f>$D$2*B10</f>
        <v>133558.45180500002</v>
      </c>
      <c r="E10" s="26">
        <f>E11+E12+E13+E15+E14</f>
        <v>63027.54</v>
      </c>
      <c r="F10" s="44">
        <f>E10/D10</f>
        <v>0.47190978293176383</v>
      </c>
      <c r="G10" s="36">
        <f>$G$2*B10</f>
        <v>167389.81147499997</v>
      </c>
      <c r="H10" s="26">
        <f>H11+H12+H13+H15+H14</f>
        <v>68553.540000000008</v>
      </c>
      <c r="I10" s="44">
        <f>H10/G10</f>
        <v>0.40954428107614321</v>
      </c>
      <c r="J10" s="53">
        <f>E10+H10</f>
        <v>131581.08000000002</v>
      </c>
      <c r="K10" s="45">
        <f>J10/C10</f>
        <v>0.43722159605080679</v>
      </c>
    </row>
    <row r="11" spans="1:12" x14ac:dyDescent="0.2">
      <c r="A11" s="51" t="s">
        <v>12</v>
      </c>
      <c r="B11" s="30">
        <v>0.45</v>
      </c>
      <c r="C11" s="27">
        <f>$C$10*B11</f>
        <v>135426.71847600001</v>
      </c>
      <c r="D11" s="37">
        <f t="shared" ref="D11:D15" si="9">$D$10*B11</f>
        <v>60101.303312250013</v>
      </c>
      <c r="E11" s="27">
        <f>SUMIFS([1]PositionsHK!V:V,[1]PositionsHK!F:F,"CSNDX")</f>
        <v>22062</v>
      </c>
      <c r="F11" s="45">
        <f>E11/D11</f>
        <v>0.36708022595415601</v>
      </c>
      <c r="G11" s="37">
        <f t="shared" ref="G11:G15" si="10">$G$10*B11</f>
        <v>75325.415163749989</v>
      </c>
      <c r="H11" s="27">
        <f>SUMIFS([1]PositionsAL!V:V,[1]PositionsAL!F:F,"CSNDX")</f>
        <v>22062</v>
      </c>
      <c r="I11" s="45">
        <f>H11/G11</f>
        <v>0.29288919220742954</v>
      </c>
      <c r="J11" s="54">
        <f t="shared" si="0"/>
        <v>44124</v>
      </c>
      <c r="K11" s="45">
        <f t="shared" si="1"/>
        <v>0.3258145844227891</v>
      </c>
      <c r="L11" s="14"/>
    </row>
    <row r="12" spans="1:12" x14ac:dyDescent="0.2">
      <c r="A12" s="51" t="s">
        <v>14</v>
      </c>
      <c r="B12" s="30">
        <v>0.2</v>
      </c>
      <c r="C12" s="27">
        <f>$C$10*B12</f>
        <v>60189.652656000006</v>
      </c>
      <c r="D12" s="37">
        <f t="shared" si="9"/>
        <v>26711.690361000004</v>
      </c>
      <c r="E12" s="27">
        <f>SUMIFS([1]PositionsHK!V:V,[1]PositionsHK!F:F,"CTEC")</f>
        <v>11052</v>
      </c>
      <c r="F12" s="45">
        <f t="shared" ref="F12:F15" si="11">E12/D12</f>
        <v>0.41375142683355987</v>
      </c>
      <c r="G12" s="37">
        <f t="shared" si="10"/>
        <v>33477.962294999998</v>
      </c>
      <c r="H12" s="27">
        <f>SUMIFS([1]PositionsAL!V:V,[1]PositionsAL!F:F,"CTEC")</f>
        <v>16578</v>
      </c>
      <c r="I12" s="45">
        <f t="shared" ref="I12:I15" si="12">H12/G12</f>
        <v>0.49519142933248234</v>
      </c>
      <c r="J12" s="54">
        <f t="shared" si="0"/>
        <v>27630</v>
      </c>
      <c r="K12" s="45">
        <f t="shared" si="1"/>
        <v>0.45904900229135487</v>
      </c>
      <c r="L12" s="14"/>
    </row>
    <row r="13" spans="1:12" x14ac:dyDescent="0.2">
      <c r="A13" s="51" t="s">
        <v>172</v>
      </c>
      <c r="B13" s="30">
        <v>0.1</v>
      </c>
      <c r="C13" s="27">
        <f>$C$10*B13</f>
        <v>30094.826328000003</v>
      </c>
      <c r="D13" s="37">
        <f t="shared" si="9"/>
        <v>13355.845180500002</v>
      </c>
      <c r="E13" s="27">
        <f>SUMIFS([1]PositionsHK!V:V,[1]PositionsHK!F:F,"HEAL")</f>
        <v>9495</v>
      </c>
      <c r="F13" s="45">
        <f t="shared" si="11"/>
        <v>0.71092468291434152</v>
      </c>
      <c r="G13" s="37">
        <f t="shared" si="10"/>
        <v>16738.981147499999</v>
      </c>
      <c r="H13" s="27">
        <f>SUMIFS([1]PositionsAL!V:V,[1]PositionsAL!F:F,"HEAL")</f>
        <v>9495</v>
      </c>
      <c r="I13" s="45">
        <f t="shared" si="12"/>
        <v>0.567238825131128</v>
      </c>
      <c r="J13" s="54">
        <f t="shared" si="0"/>
        <v>18990</v>
      </c>
      <c r="K13" s="45">
        <f t="shared" si="1"/>
        <v>0.63100546894772558</v>
      </c>
      <c r="L13" s="14"/>
    </row>
    <row r="14" spans="1:12" x14ac:dyDescent="0.2">
      <c r="A14" s="51" t="s">
        <v>19</v>
      </c>
      <c r="B14" s="30">
        <v>0.1</v>
      </c>
      <c r="C14" s="27">
        <f>$C$10*B14</f>
        <v>30094.826328000003</v>
      </c>
      <c r="D14" s="37">
        <f>$D$10*B14</f>
        <v>13355.845180500002</v>
      </c>
      <c r="E14" s="27">
        <f>SUMIFS([1]PositionsHK!V:V,[1]PositionsHK!F:F,"INRA")</f>
        <v>10398.540000000001</v>
      </c>
      <c r="F14" s="45">
        <f>E14/D14</f>
        <v>0.77857596127141626</v>
      </c>
      <c r="G14" s="37">
        <f>$G$10*B14</f>
        <v>16738.981147499999</v>
      </c>
      <c r="H14" s="27">
        <f>SUMIFS([1]PositionsAL!V:V,[1]PositionsAL!F:F,"INRA")</f>
        <v>10398.540000000001</v>
      </c>
      <c r="I14" s="45">
        <f>H14/G14</f>
        <v>0.62121702081927754</v>
      </c>
      <c r="J14" s="54">
        <f>E14+H14</f>
        <v>20797.080000000002</v>
      </c>
      <c r="K14" s="45">
        <f>J14/C14</f>
        <v>0.69105167025504821</v>
      </c>
      <c r="L14" s="14"/>
    </row>
    <row r="15" spans="1:12" x14ac:dyDescent="0.2">
      <c r="A15" s="51" t="s">
        <v>17</v>
      </c>
      <c r="B15" s="30">
        <v>0.15</v>
      </c>
      <c r="C15" s="27">
        <f>$C$10*B15</f>
        <v>45142.239492000001</v>
      </c>
      <c r="D15" s="37">
        <f t="shared" si="9"/>
        <v>20033.767770750001</v>
      </c>
      <c r="E15" s="27">
        <f>SUMIFS([1]PositionsHK!V:V,[1]PositionsHK!F:F,"LOCK")</f>
        <v>10020</v>
      </c>
      <c r="F15" s="45">
        <f t="shared" si="11"/>
        <v>0.5001555431140392</v>
      </c>
      <c r="G15" s="37">
        <f t="shared" si="10"/>
        <v>25108.471721249993</v>
      </c>
      <c r="H15" s="27">
        <f>SUMIFS([1]PositionsAL!V:V,[1]PositionsAL!F:F,"LOCK")</f>
        <v>10020</v>
      </c>
      <c r="I15" s="45">
        <f t="shared" si="12"/>
        <v>0.39906849414175205</v>
      </c>
      <c r="J15" s="54">
        <f t="shared" si="0"/>
        <v>20040</v>
      </c>
      <c r="K15" s="45">
        <f t="shared" si="1"/>
        <v>0.44393012454668851</v>
      </c>
      <c r="L15" s="14"/>
    </row>
    <row r="16" spans="1:12" x14ac:dyDescent="0.2">
      <c r="A16" s="50" t="s">
        <v>174</v>
      </c>
      <c r="B16" s="29">
        <v>0.25</v>
      </c>
      <c r="C16" s="26">
        <f>$F$40*B16</f>
        <v>250790.2194</v>
      </c>
      <c r="D16" s="36">
        <f>$D$2*B16</f>
        <v>111298.70983750002</v>
      </c>
      <c r="E16" s="26" cm="1">
        <f t="array" ref="E16">SUMPRODUCT(SUMIFS([1]PositionsHK!V:V,[1]PositionsHK!F:F,IncomeStrategy!A:A))</f>
        <v>111959</v>
      </c>
      <c r="F16" s="44">
        <f>E16/D16</f>
        <v>1.0059325949372102</v>
      </c>
      <c r="G16" s="36">
        <f>$G$2*B16</f>
        <v>139491.50956249997</v>
      </c>
      <c r="H16" s="26" cm="1">
        <f t="array" ref="H16">SUMPRODUCT(SUMIFS([1]PositionsAL!V:V,[1]PositionsAL!F:F,IncomeStrategy!A:A))</f>
        <v>62565</v>
      </c>
      <c r="I16" s="44">
        <f t="shared" ref="I16:I21" si="13">H16/G16</f>
        <v>0.44852192220321047</v>
      </c>
      <c r="J16" s="53">
        <f t="shared" si="0"/>
        <v>174524</v>
      </c>
      <c r="K16" s="44">
        <f t="shared" si="1"/>
        <v>0.69589635679388862</v>
      </c>
    </row>
    <row r="17" spans="1:12" x14ac:dyDescent="0.2">
      <c r="A17" s="50" t="s">
        <v>169</v>
      </c>
      <c r="B17" s="29">
        <v>0.05</v>
      </c>
      <c r="C17" s="26">
        <f>$F$40*B17</f>
        <v>50158.043880000005</v>
      </c>
      <c r="D17" s="36">
        <f>$D$2*B17</f>
        <v>22259.741967500006</v>
      </c>
      <c r="E17" s="26">
        <f>E18+E19</f>
        <v>24509.942000000017</v>
      </c>
      <c r="F17" s="44">
        <f>E17/D17</f>
        <v>1.1010883250931383</v>
      </c>
      <c r="G17" s="36">
        <f>$G$2*B17</f>
        <v>27898.301912499996</v>
      </c>
      <c r="H17" s="26">
        <f>H18+H19</f>
        <v>15476.451599999957</v>
      </c>
      <c r="I17" s="44">
        <f>H17/G17</f>
        <v>0.55474529053919386</v>
      </c>
      <c r="J17" s="53">
        <f>E17+H17</f>
        <v>39986.393599999974</v>
      </c>
      <c r="K17" s="44">
        <f t="shared" si="1"/>
        <v>0.79720799510572882</v>
      </c>
    </row>
    <row r="18" spans="1:12" x14ac:dyDescent="0.2">
      <c r="A18" s="51" t="s">
        <v>170</v>
      </c>
      <c r="B18" s="31">
        <v>0.5</v>
      </c>
      <c r="C18" s="28">
        <f>$C$17*B18</f>
        <v>25079.021940000002</v>
      </c>
      <c r="D18" s="38">
        <f>$D$17*B18</f>
        <v>11129.870983750003</v>
      </c>
      <c r="E18" s="28" cm="1">
        <f t="array" ref="E18">SUMIFS([1]PositionsHK!V:V,[1]PositionsHK!D:D,"STK")-SUMPRODUCT(SUMIFS([1]PositionsHK!V:V,[1]PositionsHK!D:D,"STK",[1]PositionsHK!F:F,GlobalETF!A:A))-SUMPRODUCT(SUMIFS([1]PositionsHK!V:V,[1]PositionsHK!D:D,"STK",[1]PositionsHK!F:F,GrowthEngine!A:A))-SUMPRODUCT(SUMIFS([1]PositionsHK!V:V,[1]PositionsHK!D:D,"STK",[1]PositionsHK!F:F,IncomeStrategy!A:A))-SUMPRODUCT(SUMIFS([1]PositionsHK!V:V,[1]PositionsHK!D:D,"STK",[1]PositionsHK!F:F,Gold!A:A))</f>
        <v>20168.182000000015</v>
      </c>
      <c r="F18" s="46">
        <f t="shared" ref="F18:F21" si="14">E18/G18</f>
        <v>1.4458358120329571</v>
      </c>
      <c r="G18" s="38">
        <f>$G$17*B18</f>
        <v>13949.150956249998</v>
      </c>
      <c r="H18" s="28" cm="1">
        <f t="array" ref="H18">SUMIFS([1]PositionsAL!V:V,[1]PositionsAL!D:D,"STK")-SUMPRODUCT(SUMIFS([1]PositionsAL!V:V,[1]PositionsAL!D:D,"STK",[1]PositionsAL!F:F,GlobalETF!A:A))-SUMPRODUCT(SUMIFS([1]PositionsAL!V:V,[1]PositionsAL!D:D,"STK",[1]PositionsAL!F:F,GrowthEngine!A:A))-SUMPRODUCT(SUMIFS([1]PositionsAL!V:V,[1]PositionsAL!D:D,"STK",[1]PositionsAL!F:F,IncomeStrategy!A:A))-SUMPRODUCT(SUMIFS([1]PositionsAL!V:V,[1]PositionsAL!D:D,"STK",[1]PositionsAL!F:F,Gold!A:A))</f>
        <v>14842.451599999957</v>
      </c>
      <c r="I18" s="46">
        <f>H18/G18</f>
        <v>1.064039786116854</v>
      </c>
      <c r="J18" s="55">
        <f t="shared" si="0"/>
        <v>35010.633599999972</v>
      </c>
      <c r="K18" s="46">
        <f t="shared" si="1"/>
        <v>1.3960127186682452</v>
      </c>
      <c r="L18" s="15"/>
    </row>
    <row r="19" spans="1:12" x14ac:dyDescent="0.2">
      <c r="A19" s="51" t="s">
        <v>181</v>
      </c>
      <c r="B19" s="31">
        <v>0.5</v>
      </c>
      <c r="C19" s="28">
        <f>$C$17*B19</f>
        <v>25079.021940000002</v>
      </c>
      <c r="D19" s="38">
        <f>$D$17*B19</f>
        <v>11129.870983750003</v>
      </c>
      <c r="E19" s="28">
        <f>SUMIFS([1]PositionsHK!V:V,[1]PositionsHK!D:D,"OPT",[1]PositionsHK!T:T,"Long")+SUMIFS([1]PositionsHK!V:V,[1]PositionsHK!D:D,"FOP",[1]PositionsHK!T:T,"Long")</f>
        <v>4341.76</v>
      </c>
      <c r="F19" s="46">
        <f t="shared" si="14"/>
        <v>0.31125622008231618</v>
      </c>
      <c r="G19" s="38">
        <f>$G$17*B19</f>
        <v>13949.150956249998</v>
      </c>
      <c r="H19" s="28">
        <f>SUMIFS([1]PositionsAL!V:V,[1]PositionsAL!D:D,"OPT",[1]PositionsAL!T:T,"Long")+SUMIFS([1]PositionsAL!V:V,[1]PositionsAL!D:D,"FOP",[1]PositionsAL!T:T,"Long")</f>
        <v>634</v>
      </c>
      <c r="I19" s="46">
        <f>H19/G19</f>
        <v>4.5450794961533675E-2</v>
      </c>
      <c r="J19" s="55">
        <f t="shared" si="0"/>
        <v>4975.76</v>
      </c>
      <c r="K19" s="46">
        <f t="shared" si="1"/>
        <v>0.19840327154321233</v>
      </c>
      <c r="L19" s="15"/>
    </row>
    <row r="20" spans="1:12" x14ac:dyDescent="0.2">
      <c r="A20" s="50" t="s">
        <v>171</v>
      </c>
      <c r="B20" s="29">
        <v>0.03</v>
      </c>
      <c r="C20" s="26">
        <f>$F$40*B20</f>
        <v>30094.826327999999</v>
      </c>
      <c r="D20" s="36">
        <f>$D$2*B20</f>
        <v>13355.845180500002</v>
      </c>
      <c r="E20" s="26">
        <f>SUMIFS([1]PositionsHK!V:V,[1]PositionsHK!F:F,"GSD")</f>
        <v>22701.236250000002</v>
      </c>
      <c r="F20" s="44">
        <f t="shared" si="14"/>
        <v>1.3561898451262957</v>
      </c>
      <c r="G20" s="36">
        <f>$G$2*B20</f>
        <v>16738.981147499995</v>
      </c>
      <c r="H20" s="26">
        <f>SUMIFS([1]PositionsAL!V:V,[1]PositionsAL!F:F,"GSD")</f>
        <v>4540.2472500000003</v>
      </c>
      <c r="I20" s="44">
        <f t="shared" si="13"/>
        <v>0.27123796902525915</v>
      </c>
      <c r="J20" s="53">
        <f t="shared" si="0"/>
        <v>27241.483500000002</v>
      </c>
      <c r="K20" s="44">
        <f t="shared" si="1"/>
        <v>0.9051882607029611</v>
      </c>
    </row>
    <row r="21" spans="1:12" x14ac:dyDescent="0.2">
      <c r="A21" s="49" t="s">
        <v>168</v>
      </c>
      <c r="B21" s="29">
        <v>7.0000000000000007E-2</v>
      </c>
      <c r="C21" s="26">
        <f>$F$40*B21</f>
        <v>70221.261432000014</v>
      </c>
      <c r="D21" s="39">
        <f>$D$2*B21</f>
        <v>31163.638754500007</v>
      </c>
      <c r="E21" s="40" t="str">
        <f>[1]Summary!$C$2</f>
        <v>$103,358.02</v>
      </c>
      <c r="F21" s="47">
        <f t="shared" si="14"/>
        <v>2.6462957270448944</v>
      </c>
      <c r="G21" s="39">
        <f>$G$2*B21</f>
        <v>39057.622677499996</v>
      </c>
      <c r="H21" s="40" t="str">
        <f>[1]Summary!$C$3</f>
        <v>$105,735.07</v>
      </c>
      <c r="I21" s="47">
        <f t="shared" si="13"/>
        <v>2.7071558060012451</v>
      </c>
      <c r="J21" s="56">
        <f t="shared" si="0"/>
        <v>209093.09000000003</v>
      </c>
      <c r="K21" s="47">
        <f t="shared" si="1"/>
        <v>2.9776322118975171</v>
      </c>
    </row>
    <row r="22" spans="1:12" x14ac:dyDescent="0.2">
      <c r="A22" s="9"/>
      <c r="B22" s="10">
        <f>B4+B10+B16+B17+B20+B21</f>
        <v>1</v>
      </c>
      <c r="C22" s="9"/>
      <c r="D22" s="9"/>
      <c r="E22" s="11"/>
      <c r="F22" s="11"/>
      <c r="G22" s="11"/>
      <c r="H22" s="11"/>
      <c r="I22" s="9"/>
      <c r="J22" s="9"/>
      <c r="K22" s="9"/>
    </row>
    <row r="23" spans="1:12" x14ac:dyDescent="0.2">
      <c r="E23" s="6"/>
      <c r="H23" s="6"/>
    </row>
    <row r="24" spans="1:12" x14ac:dyDescent="0.2">
      <c r="A24" s="16"/>
    </row>
    <row r="39" spans="6:7" x14ac:dyDescent="0.2">
      <c r="F39" s="20" t="s">
        <v>183</v>
      </c>
      <c r="G39" s="19"/>
    </row>
    <row r="40" spans="6:7" x14ac:dyDescent="0.2">
      <c r="F40" s="24">
        <f>D2+G2</f>
        <v>1003160.8776</v>
      </c>
      <c r="G40" s="19"/>
    </row>
    <row r="41" spans="6:7" x14ac:dyDescent="0.2">
      <c r="F41" s="20" t="s">
        <v>184</v>
      </c>
      <c r="G41" s="25">
        <f>F42/F40</f>
        <v>0.79156574516717371</v>
      </c>
    </row>
    <row r="42" spans="6:7" x14ac:dyDescent="0.2">
      <c r="F42" s="24">
        <f>F40-F44</f>
        <v>794067.78759999992</v>
      </c>
      <c r="G42" s="19"/>
    </row>
    <row r="43" spans="6:7" x14ac:dyDescent="0.2">
      <c r="F43" s="20" t="s">
        <v>185</v>
      </c>
      <c r="G43" s="25">
        <f>F44/F40</f>
        <v>0.20843425483282627</v>
      </c>
    </row>
    <row r="44" spans="6:7" x14ac:dyDescent="0.2">
      <c r="F44" s="24">
        <f>E21+H21</f>
        <v>209093.09000000003</v>
      </c>
      <c r="G44" s="19"/>
    </row>
    <row r="49" spans="1:5" x14ac:dyDescent="0.2">
      <c r="A49" s="19"/>
      <c r="B49" s="19" t="s">
        <v>5</v>
      </c>
      <c r="C49" s="19" t="s">
        <v>182</v>
      </c>
      <c r="D49" s="23"/>
      <c r="E49" s="23"/>
    </row>
    <row r="50" spans="1:5" x14ac:dyDescent="0.2">
      <c r="A50" s="20" t="str">
        <f>A4</f>
        <v>Global ETF (The stragic core)</v>
      </c>
      <c r="B50" s="21">
        <f>C4</f>
        <v>300948.26328000001</v>
      </c>
      <c r="C50" s="22">
        <f>J4</f>
        <v>430686.3505</v>
      </c>
      <c r="D50" s="23"/>
      <c r="E50" s="23"/>
    </row>
    <row r="51" spans="1:5" x14ac:dyDescent="0.2">
      <c r="A51" s="20" t="str">
        <f>A10</f>
        <v>Growth Engine (The five horseman)</v>
      </c>
      <c r="B51" s="21">
        <f>C10</f>
        <v>300948.26328000001</v>
      </c>
      <c r="C51" s="22">
        <f>J10</f>
        <v>131581.08000000002</v>
      </c>
      <c r="D51" s="23"/>
      <c r="E51" s="23"/>
    </row>
    <row r="52" spans="1:5" x14ac:dyDescent="0.2">
      <c r="A52" s="20" t="str">
        <f>A16</f>
        <v>Income Strategy (The wheel)</v>
      </c>
      <c r="B52" s="21">
        <f>C16</f>
        <v>250790.2194</v>
      </c>
      <c r="C52" s="22">
        <f>J16</f>
        <v>174524</v>
      </c>
      <c r="D52" s="23"/>
      <c r="E52" s="23"/>
    </row>
    <row r="53" spans="1:5" x14ac:dyDescent="0.2">
      <c r="A53" s="20" t="str">
        <f>A18</f>
        <v>The Sniper (theme stocks)</v>
      </c>
      <c r="B53" s="21">
        <f>C18</f>
        <v>25079.021940000002</v>
      </c>
      <c r="C53" s="22">
        <f>J18</f>
        <v>35010.633599999972</v>
      </c>
      <c r="D53" s="23"/>
      <c r="E53" s="23"/>
    </row>
    <row r="54" spans="1:5" x14ac:dyDescent="0.2">
      <c r="A54" s="20" t="str">
        <f>A19</f>
        <v>The Hedge (buy puts QQQ -15% OTM)</v>
      </c>
      <c r="B54" s="21">
        <f>C19</f>
        <v>25079.021940000002</v>
      </c>
      <c r="C54" s="22">
        <f>J19</f>
        <v>4975.76</v>
      </c>
      <c r="D54" s="23"/>
      <c r="E54" s="23"/>
    </row>
    <row r="55" spans="1:5" x14ac:dyDescent="0.2">
      <c r="A55" s="20" t="str">
        <f>A20</f>
        <v>Reserve: Gold</v>
      </c>
      <c r="B55" s="21">
        <f>C20</f>
        <v>30094.826327999999</v>
      </c>
      <c r="C55" s="22">
        <f>J20</f>
        <v>27241.483500000002</v>
      </c>
      <c r="D55" s="23"/>
      <c r="E55" s="23"/>
    </row>
    <row r="56" spans="1:5" x14ac:dyDescent="0.2">
      <c r="A56" s="20" t="str">
        <f>A21</f>
        <v>Reserve: Cash</v>
      </c>
      <c r="B56" s="21">
        <f>C21</f>
        <v>70221.261432000014</v>
      </c>
      <c r="C56" s="22">
        <f>J21</f>
        <v>209093.09000000003</v>
      </c>
      <c r="D56" s="23"/>
      <c r="E56" s="23"/>
    </row>
  </sheetData>
  <conditionalFormatting sqref="F4:F21">
    <cfRule type="expression" dxfId="39" priority="152">
      <formula>AND(F4&gt;=80%, F4&lt;=120%)</formula>
    </cfRule>
    <cfRule type="expression" dxfId="38" priority="151">
      <formula>AND(F4&gt;=50%, F4&lt;80%)</formula>
    </cfRule>
    <cfRule type="expression" dxfId="37" priority="150">
      <formula>AND(F4&lt;50%)</formula>
    </cfRule>
    <cfRule type="expression" dxfId="36" priority="149">
      <formula>AND(F4&gt;=120%)</formula>
    </cfRule>
  </conditionalFormatting>
  <conditionalFormatting sqref="I4:I9">
    <cfRule type="expression" dxfId="35" priority="85">
      <formula>AND(I4&gt;=120%)</formula>
    </cfRule>
    <cfRule type="expression" dxfId="34" priority="88">
      <formula>AND(I4&gt;=80%, I4&lt;=120%)</formula>
    </cfRule>
    <cfRule type="expression" dxfId="33" priority="87">
      <formula>AND(I4&gt;=50%, I4&lt;80%)</formula>
    </cfRule>
    <cfRule type="expression" dxfId="32" priority="86">
      <formula>AND(I4&lt;50%)</formula>
    </cfRule>
  </conditionalFormatting>
  <conditionalFormatting sqref="I8:I9">
    <cfRule type="expression" dxfId="31" priority="81">
      <formula>AND(I8&gt;=120%)</formula>
    </cfRule>
    <cfRule type="expression" dxfId="30" priority="84">
      <formula>AND(I8&gt;=80%, I8&lt;=120%)</formula>
    </cfRule>
    <cfRule type="expression" dxfId="29" priority="83">
      <formula>AND(I8&gt;=50%, I8&lt;80%)</formula>
    </cfRule>
    <cfRule type="expression" dxfId="28" priority="82">
      <formula>AND(I8&lt;50%)</formula>
    </cfRule>
  </conditionalFormatting>
  <conditionalFormatting sqref="I10:I15">
    <cfRule type="expression" dxfId="27" priority="125">
      <formula>AND(I10&gt;=120%)</formula>
    </cfRule>
    <cfRule type="expression" dxfId="26" priority="126">
      <formula>AND(I10&lt;50%)</formula>
    </cfRule>
    <cfRule type="expression" dxfId="25" priority="127">
      <formula>AND(I10&gt;=50%, I10&lt;80%)</formula>
    </cfRule>
    <cfRule type="expression" dxfId="24" priority="128">
      <formula>AND(I10&gt;=80%, I10&lt;=120%)</formula>
    </cfRule>
  </conditionalFormatting>
  <conditionalFormatting sqref="I14">
    <cfRule type="expression" dxfId="23" priority="121">
      <formula>AND(I14&gt;=120%)</formula>
    </cfRule>
    <cfRule type="expression" dxfId="22" priority="122">
      <formula>AND(I14&lt;50%)</formula>
    </cfRule>
    <cfRule type="expression" dxfId="21" priority="123">
      <formula>AND(I14&gt;=50%, I14&lt;80%)</formula>
    </cfRule>
    <cfRule type="expression" dxfId="20" priority="124">
      <formula>AND(I14&gt;=80%, I14&lt;=120%)</formula>
    </cfRule>
  </conditionalFormatting>
  <conditionalFormatting sqref="I16:I21">
    <cfRule type="expression" dxfId="19" priority="97">
      <formula>AND(I16&gt;=120%)</formula>
    </cfRule>
    <cfRule type="expression" dxfId="18" priority="98">
      <formula>AND(I16&lt;50%)</formula>
    </cfRule>
    <cfRule type="expression" dxfId="17" priority="99">
      <formula>AND(I16&gt;=50%, I16&lt;80%)</formula>
    </cfRule>
    <cfRule type="expression" dxfId="16" priority="100">
      <formula>AND(I16&gt;=80%, I16&lt;=120%)</formula>
    </cfRule>
  </conditionalFormatting>
  <conditionalFormatting sqref="K4:K8">
    <cfRule type="expression" dxfId="15" priority="62">
      <formula>AND(K4&lt;50%)</formula>
    </cfRule>
    <cfRule type="expression" dxfId="14" priority="63">
      <formula>AND(K4&gt;=50%, K4&lt;80%)</formula>
    </cfRule>
    <cfRule type="expression" dxfId="13" priority="64">
      <formula>AND(K4&gt;=80%, K4&lt;=120%)</formula>
    </cfRule>
    <cfRule type="expression" dxfId="12" priority="61">
      <formula>AND(K4&gt;=120%)</formula>
    </cfRule>
  </conditionalFormatting>
  <conditionalFormatting sqref="K8:K10">
    <cfRule type="expression" dxfId="11" priority="56">
      <formula>AND(K8&gt;=80%, K8&lt;=120%)</formula>
    </cfRule>
    <cfRule type="expression" dxfId="10" priority="55">
      <formula>AND(K8&gt;=50%, K8&lt;80%)</formula>
    </cfRule>
    <cfRule type="expression" dxfId="9" priority="54">
      <formula>AND(K8&lt;50%)</formula>
    </cfRule>
    <cfRule type="expression" dxfId="8" priority="53">
      <formula>AND(K8&gt;=120%)</formula>
    </cfRule>
  </conditionalFormatting>
  <conditionalFormatting sqref="K9:K14">
    <cfRule type="expression" dxfId="7" priority="34">
      <formula>AND(K9&lt;50%)</formula>
    </cfRule>
    <cfRule type="expression" dxfId="6" priority="33">
      <formula>AND(K9&gt;=120%)</formula>
    </cfRule>
    <cfRule type="expression" dxfId="5" priority="36">
      <formula>AND(K9&gt;=80%, K9&lt;=120%)</formula>
    </cfRule>
    <cfRule type="expression" dxfId="4" priority="35">
      <formula>AND(K9&gt;=50%, K9&lt;80%)</formula>
    </cfRule>
  </conditionalFormatting>
  <conditionalFormatting sqref="K14:K21">
    <cfRule type="expression" dxfId="3" priority="4">
      <formula>AND(K14&gt;=80%, K14&lt;=120%)</formula>
    </cfRule>
    <cfRule type="expression" dxfId="2" priority="3">
      <formula>AND(K14&gt;=50%, K14&lt;80%)</formula>
    </cfRule>
    <cfRule type="expression" dxfId="1" priority="2">
      <formula>AND(K14&lt;50%)</formula>
    </cfRule>
    <cfRule type="expression" dxfId="0" priority="1">
      <formula>AND(K14&gt;=120%)</formula>
    </cfRule>
  </conditionalFormatting>
  <pageMargins left="0.75" right="0.75" top="1" bottom="1" header="0.5" footer="0.5"/>
  <pageSetup paperSize="9" orientation="portrait" horizontalDpi="0" verticalDpi="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workbookViewId="0">
      <selection activeCell="C15" sqref="C15"/>
    </sheetView>
  </sheetViews>
  <sheetFormatPr baseColWidth="10" defaultRowHeight="16" x14ac:dyDescent="0.2"/>
  <cols>
    <col min="1" max="2" width="8.1640625" style="1" bestFit="1" customWidth="1"/>
    <col min="3" max="3" width="20" style="1" bestFit="1" customWidth="1"/>
    <col min="4" max="4" width="21.1640625" style="1" bestFit="1" customWidth="1"/>
    <col min="5" max="5" width="20" style="1" bestFit="1" customWidth="1"/>
    <col min="6" max="6" width="75.5" style="1" bestFit="1" customWidth="1"/>
    <col min="7" max="7" width="10.83203125" style="1" customWidth="1"/>
    <col min="8" max="16384" width="10.83203125" style="1"/>
  </cols>
  <sheetData>
    <row r="1" spans="1:6" x14ac:dyDescent="0.2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</row>
    <row r="2" spans="1:6" x14ac:dyDescent="0.2">
      <c r="A2" s="5">
        <v>82846</v>
      </c>
      <c r="B2" s="3">
        <v>0.15</v>
      </c>
      <c r="C2" s="1" t="s">
        <v>27</v>
      </c>
      <c r="D2" s="1" t="s">
        <v>28</v>
      </c>
      <c r="E2" s="4">
        <v>3.8E-3</v>
      </c>
      <c r="F2" s="1" t="s">
        <v>29</v>
      </c>
    </row>
    <row r="3" spans="1:6" x14ac:dyDescent="0.2">
      <c r="A3" s="1" t="s">
        <v>30</v>
      </c>
      <c r="B3" s="3">
        <v>0.1</v>
      </c>
      <c r="C3" s="1" t="s">
        <v>31</v>
      </c>
      <c r="D3" s="1" t="s">
        <v>32</v>
      </c>
      <c r="E3" s="1" t="s">
        <v>33</v>
      </c>
      <c r="F3" s="1" t="s">
        <v>34</v>
      </c>
    </row>
    <row r="4" spans="1:6" x14ac:dyDescent="0.2">
      <c r="A4" s="1" t="s">
        <v>35</v>
      </c>
      <c r="B4" s="3">
        <v>0.15</v>
      </c>
      <c r="C4" s="1" t="s">
        <v>36</v>
      </c>
      <c r="D4" s="1" t="s">
        <v>37</v>
      </c>
      <c r="E4" s="4">
        <v>2.8E-3</v>
      </c>
      <c r="F4" s="1" t="s">
        <v>38</v>
      </c>
    </row>
    <row r="5" spans="1:6" x14ac:dyDescent="0.2">
      <c r="A5" s="1" t="s">
        <v>39</v>
      </c>
      <c r="B5" s="3">
        <v>0.1</v>
      </c>
      <c r="C5" s="1" t="s">
        <v>40</v>
      </c>
      <c r="D5" s="1" t="s">
        <v>41</v>
      </c>
      <c r="E5" s="4">
        <v>1.9E-3</v>
      </c>
      <c r="F5" s="1" t="s">
        <v>42</v>
      </c>
    </row>
    <row r="6" spans="1:6" x14ac:dyDescent="0.2">
      <c r="A6" s="1" t="s">
        <v>43</v>
      </c>
      <c r="B6" s="3">
        <v>0.5</v>
      </c>
      <c r="C6" s="1" t="s">
        <v>31</v>
      </c>
      <c r="D6" s="1" t="s">
        <v>41</v>
      </c>
      <c r="E6" s="4">
        <v>1.9E-3</v>
      </c>
      <c r="F6" s="1" t="s">
        <v>44</v>
      </c>
    </row>
    <row r="7" spans="1:6" x14ac:dyDescent="0.2">
      <c r="E7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7"/>
  <sheetViews>
    <sheetView workbookViewId="0">
      <selection activeCell="F12" sqref="F12"/>
    </sheetView>
  </sheetViews>
  <sheetFormatPr baseColWidth="10" defaultRowHeight="16" x14ac:dyDescent="0.2"/>
  <cols>
    <col min="1" max="1" width="8.1640625" style="1" bestFit="1" customWidth="1"/>
    <col min="2" max="2" width="20" style="1" bestFit="1" customWidth="1"/>
    <col min="3" max="3" width="9.33203125" style="1" bestFit="1" customWidth="1"/>
    <col min="4" max="4" width="17.6640625" style="1" bestFit="1" customWidth="1"/>
    <col min="5" max="5" width="12.83203125" style="1" bestFit="1" customWidth="1"/>
    <col min="6" max="6" width="14" style="1" bestFit="1" customWidth="1"/>
    <col min="7" max="7" width="16.5" style="1" bestFit="1" customWidth="1"/>
    <col min="8" max="8" width="68.33203125" style="1" bestFit="1" customWidth="1"/>
    <col min="9" max="9" width="12.83203125" style="1" bestFit="1" customWidth="1"/>
    <col min="10" max="11" width="15.1640625" style="1" bestFit="1" customWidth="1"/>
    <col min="12" max="13" width="11.6640625" style="1" bestFit="1" customWidth="1"/>
    <col min="14" max="14" width="10.83203125" style="1" customWidth="1"/>
    <col min="15" max="16384" width="10.83203125" style="1"/>
  </cols>
  <sheetData>
    <row r="1" spans="1:13" x14ac:dyDescent="0.2">
      <c r="A1" s="1" t="s">
        <v>21</v>
      </c>
      <c r="B1" s="1" t="s">
        <v>45</v>
      </c>
      <c r="C1" s="1" t="s">
        <v>46</v>
      </c>
      <c r="D1" s="1" t="s">
        <v>47</v>
      </c>
      <c r="E1" s="1" t="s">
        <v>48</v>
      </c>
      <c r="F1" s="1" t="s">
        <v>49</v>
      </c>
      <c r="G1" s="1" t="s">
        <v>50</v>
      </c>
      <c r="H1" s="1" t="s">
        <v>51</v>
      </c>
      <c r="I1" s="1" t="s">
        <v>52</v>
      </c>
      <c r="J1" s="1" t="s">
        <v>0</v>
      </c>
      <c r="K1" s="1" t="s">
        <v>1</v>
      </c>
      <c r="L1" s="1" t="s">
        <v>6</v>
      </c>
      <c r="M1" s="1" t="s">
        <v>7</v>
      </c>
    </row>
    <row r="2" spans="1:13" x14ac:dyDescent="0.2">
      <c r="A2" s="1" t="s">
        <v>53</v>
      </c>
      <c r="B2" s="1" t="s">
        <v>54</v>
      </c>
      <c r="C2" s="1" t="s">
        <v>55</v>
      </c>
      <c r="D2" s="1" t="s">
        <v>56</v>
      </c>
      <c r="E2" s="4">
        <v>3.3E-3</v>
      </c>
      <c r="F2" s="4">
        <v>0.20499999999999999</v>
      </c>
      <c r="G2" s="1" t="s">
        <v>57</v>
      </c>
      <c r="H2" s="1" t="s">
        <v>13</v>
      </c>
      <c r="I2" s="3">
        <v>0.4</v>
      </c>
      <c r="J2" s="6">
        <f>Dashboard!$D$10*GrowthEngine!I2</f>
        <v>53423.380722000009</v>
      </c>
      <c r="K2" s="6">
        <f>Dashboard!$G$10*GrowthEngine!I2</f>
        <v>66955.924589999995</v>
      </c>
    </row>
    <row r="3" spans="1:13" x14ac:dyDescent="0.2">
      <c r="A3" s="1" t="s">
        <v>58</v>
      </c>
      <c r="B3" s="1" t="s">
        <v>54</v>
      </c>
      <c r="C3" s="1" t="s">
        <v>55</v>
      </c>
      <c r="D3" s="1" t="s">
        <v>59</v>
      </c>
      <c r="E3" s="4">
        <v>4.4999999999999997E-3</v>
      </c>
      <c r="F3" s="4">
        <v>0.35499999999999998</v>
      </c>
      <c r="G3" s="1" t="s">
        <v>60</v>
      </c>
      <c r="H3" s="1" t="s">
        <v>15</v>
      </c>
      <c r="I3" s="3">
        <v>0.2</v>
      </c>
      <c r="J3" s="6">
        <f>Dashboard!$D$10*GrowthEngine!I3</f>
        <v>26711.690361000004</v>
      </c>
      <c r="K3" s="6">
        <f>Dashboard!$G$10*GrowthEngine!I3</f>
        <v>33477.962294999998</v>
      </c>
    </row>
    <row r="4" spans="1:13" x14ac:dyDescent="0.2">
      <c r="A4" s="1" t="s">
        <v>61</v>
      </c>
      <c r="B4" s="1" t="s">
        <v>62</v>
      </c>
      <c r="C4" s="1" t="s">
        <v>55</v>
      </c>
      <c r="D4" s="1" t="s">
        <v>63</v>
      </c>
      <c r="E4" s="4">
        <v>4.0000000000000001E-3</v>
      </c>
      <c r="F4" s="4">
        <v>0.185</v>
      </c>
      <c r="G4" s="1" t="s">
        <v>64</v>
      </c>
      <c r="H4" s="1" t="s">
        <v>16</v>
      </c>
      <c r="I4" s="3">
        <v>0.15</v>
      </c>
      <c r="J4" s="6">
        <f>Dashboard!$D$10*GrowthEngine!I4</f>
        <v>20033.767770750001</v>
      </c>
      <c r="K4" s="6">
        <f>Dashboard!$G$10*GrowthEngine!I4</f>
        <v>25108.471721249993</v>
      </c>
    </row>
    <row r="5" spans="1:13" x14ac:dyDescent="0.2">
      <c r="A5" s="1" t="s">
        <v>65</v>
      </c>
      <c r="B5" s="1" t="s">
        <v>66</v>
      </c>
      <c r="C5" s="1" t="s">
        <v>55</v>
      </c>
      <c r="D5" s="1" t="s">
        <v>67</v>
      </c>
      <c r="E5" s="4">
        <v>6.4999999999999997E-3</v>
      </c>
      <c r="F5" s="4">
        <v>0.46</v>
      </c>
      <c r="G5" s="1" t="s">
        <v>68</v>
      </c>
      <c r="H5" s="1" t="s">
        <v>20</v>
      </c>
      <c r="I5" s="3">
        <v>0.1</v>
      </c>
      <c r="J5" s="6">
        <f>Dashboard!$D$10*GrowthEngine!I5</f>
        <v>13355.845180500002</v>
      </c>
      <c r="K5" s="6">
        <f>Dashboard!$G$10*GrowthEngine!I5</f>
        <v>16738.981147499999</v>
      </c>
    </row>
    <row r="6" spans="1:13" x14ac:dyDescent="0.2">
      <c r="A6" s="1" t="s">
        <v>69</v>
      </c>
      <c r="B6" s="1" t="s">
        <v>54</v>
      </c>
      <c r="C6" s="1" t="s">
        <v>55</v>
      </c>
      <c r="D6" s="1" t="s">
        <v>70</v>
      </c>
      <c r="E6" s="4">
        <v>4.0000000000000001E-3</v>
      </c>
      <c r="F6" s="4">
        <v>0.115</v>
      </c>
      <c r="G6" s="1" t="s">
        <v>71</v>
      </c>
      <c r="H6" s="1" t="s">
        <v>18</v>
      </c>
      <c r="I6" s="3">
        <v>0.15</v>
      </c>
      <c r="J6" s="6">
        <f>Dashboard!$D$10*GrowthEngine!I6</f>
        <v>20033.767770750001</v>
      </c>
      <c r="K6" s="6">
        <f>Dashboard!$G$10*GrowthEngine!I6</f>
        <v>25108.471721249993</v>
      </c>
    </row>
    <row r="7" spans="1:13" x14ac:dyDescent="0.2">
      <c r="I7" s="3">
        <f>SUM(I2:I6)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3"/>
  <sheetViews>
    <sheetView workbookViewId="0">
      <selection activeCell="A6" sqref="A6"/>
    </sheetView>
  </sheetViews>
  <sheetFormatPr baseColWidth="10" defaultRowHeight="16" x14ac:dyDescent="0.2"/>
  <cols>
    <col min="1" max="1" width="8.1640625" style="1" bestFit="1" customWidth="1"/>
    <col min="2" max="2" width="20" style="1" bestFit="1" customWidth="1"/>
    <col min="3" max="3" width="26" style="1" bestFit="1" customWidth="1"/>
    <col min="4" max="4" width="48.83203125" style="1" customWidth="1"/>
    <col min="5" max="5" width="190" style="1" bestFit="1" customWidth="1"/>
    <col min="6" max="6" width="10.83203125" style="1" customWidth="1"/>
    <col min="7" max="16384" width="10.83203125" style="1"/>
  </cols>
  <sheetData>
    <row r="1" spans="1:5" x14ac:dyDescent="0.2">
      <c r="A1" s="7" t="s">
        <v>21</v>
      </c>
      <c r="B1" s="7" t="s">
        <v>3</v>
      </c>
      <c r="C1" s="7" t="s">
        <v>72</v>
      </c>
      <c r="D1" s="7" t="s">
        <v>73</v>
      </c>
      <c r="E1" s="7" t="s">
        <v>74</v>
      </c>
    </row>
    <row r="2" spans="1:5" x14ac:dyDescent="0.2">
      <c r="A2" s="7" t="s">
        <v>75</v>
      </c>
      <c r="B2" s="7" t="s">
        <v>76</v>
      </c>
      <c r="C2" s="7" t="s">
        <v>77</v>
      </c>
      <c r="D2" s="7" t="s">
        <v>78</v>
      </c>
      <c r="E2" s="7" t="s">
        <v>79</v>
      </c>
    </row>
    <row r="3" spans="1:5" x14ac:dyDescent="0.2">
      <c r="A3" s="7" t="s">
        <v>80</v>
      </c>
      <c r="B3" s="7" t="s">
        <v>81</v>
      </c>
      <c r="C3" s="7" t="s">
        <v>82</v>
      </c>
      <c r="D3" s="7" t="s">
        <v>83</v>
      </c>
      <c r="E3" s="7" t="s">
        <v>84</v>
      </c>
    </row>
    <row r="4" spans="1:5" x14ac:dyDescent="0.2">
      <c r="A4" s="7" t="s">
        <v>85</v>
      </c>
      <c r="B4" s="7" t="s">
        <v>81</v>
      </c>
      <c r="C4" s="7" t="s">
        <v>82</v>
      </c>
      <c r="D4" s="7" t="s">
        <v>86</v>
      </c>
      <c r="E4" s="7" t="s">
        <v>87</v>
      </c>
    </row>
    <row r="5" spans="1:5" x14ac:dyDescent="0.2">
      <c r="A5" s="7" t="s">
        <v>89</v>
      </c>
      <c r="B5" s="7" t="s">
        <v>81</v>
      </c>
      <c r="C5" s="7" t="s">
        <v>88</v>
      </c>
      <c r="D5" s="7" t="s">
        <v>90</v>
      </c>
      <c r="E5" s="7" t="s">
        <v>91</v>
      </c>
    </row>
    <row r="6" spans="1:5" x14ac:dyDescent="0.2">
      <c r="A6" s="7" t="s">
        <v>92</v>
      </c>
      <c r="B6" s="7" t="s">
        <v>81</v>
      </c>
      <c r="C6" s="7" t="s">
        <v>93</v>
      </c>
      <c r="D6" s="7" t="s">
        <v>94</v>
      </c>
      <c r="E6" s="7" t="s">
        <v>95</v>
      </c>
    </row>
    <row r="7" spans="1:5" x14ac:dyDescent="0.2">
      <c r="A7" s="7" t="s">
        <v>96</v>
      </c>
      <c r="B7" s="7" t="s">
        <v>81</v>
      </c>
      <c r="C7" s="7" t="s">
        <v>82</v>
      </c>
      <c r="D7" s="7" t="s">
        <v>97</v>
      </c>
      <c r="E7" s="7" t="s">
        <v>98</v>
      </c>
    </row>
    <row r="8" spans="1:5" x14ac:dyDescent="0.2">
      <c r="A8" s="7" t="s">
        <v>99</v>
      </c>
      <c r="B8" s="7" t="s">
        <v>100</v>
      </c>
      <c r="C8" s="8" t="s">
        <v>101</v>
      </c>
      <c r="D8" s="8" t="s">
        <v>102</v>
      </c>
      <c r="E8" s="8" t="s">
        <v>103</v>
      </c>
    </row>
    <row r="9" spans="1:5" x14ac:dyDescent="0.2">
      <c r="A9" s="7" t="s">
        <v>104</v>
      </c>
      <c r="B9" s="7" t="s">
        <v>100</v>
      </c>
      <c r="C9" s="8" t="s">
        <v>105</v>
      </c>
      <c r="D9" s="8" t="s">
        <v>106</v>
      </c>
      <c r="E9" s="8" t="s">
        <v>107</v>
      </c>
    </row>
    <row r="10" spans="1:5" x14ac:dyDescent="0.2">
      <c r="A10" s="7" t="s">
        <v>108</v>
      </c>
      <c r="B10" s="7" t="s">
        <v>100</v>
      </c>
      <c r="C10" s="8" t="s">
        <v>88</v>
      </c>
      <c r="D10" s="8" t="s">
        <v>109</v>
      </c>
      <c r="E10" s="8" t="s">
        <v>110</v>
      </c>
    </row>
    <row r="11" spans="1:5" x14ac:dyDescent="0.2">
      <c r="A11" s="7" t="s">
        <v>111</v>
      </c>
      <c r="B11" s="7" t="s">
        <v>112</v>
      </c>
      <c r="C11" s="7" t="s">
        <v>88</v>
      </c>
      <c r="D11" s="7" t="s">
        <v>113</v>
      </c>
      <c r="E11" s="7" t="s">
        <v>114</v>
      </c>
    </row>
    <row r="12" spans="1:5" x14ac:dyDescent="0.2">
      <c r="A12" s="7" t="s">
        <v>115</v>
      </c>
      <c r="B12" s="7" t="s">
        <v>116</v>
      </c>
      <c r="C12" s="7" t="s">
        <v>88</v>
      </c>
      <c r="D12" s="7" t="s">
        <v>117</v>
      </c>
      <c r="E12" s="7" t="s">
        <v>118</v>
      </c>
    </row>
    <row r="13" spans="1:5" x14ac:dyDescent="0.2">
      <c r="A13" s="7" t="s">
        <v>119</v>
      </c>
      <c r="B13" s="7" t="s">
        <v>116</v>
      </c>
      <c r="C13" s="7" t="s">
        <v>82</v>
      </c>
      <c r="D13" s="7" t="s">
        <v>120</v>
      </c>
      <c r="E13" s="7" t="s">
        <v>121</v>
      </c>
    </row>
    <row r="14" spans="1:5" x14ac:dyDescent="0.2">
      <c r="A14" s="7" t="s">
        <v>122</v>
      </c>
      <c r="B14" s="7" t="s">
        <v>123</v>
      </c>
      <c r="C14" s="7" t="s">
        <v>82</v>
      </c>
      <c r="D14" s="7" t="s">
        <v>124</v>
      </c>
      <c r="E14" s="7" t="s">
        <v>125</v>
      </c>
    </row>
    <row r="15" spans="1:5" x14ac:dyDescent="0.2">
      <c r="A15" s="7" t="s">
        <v>126</v>
      </c>
      <c r="B15" s="7" t="s">
        <v>123</v>
      </c>
      <c r="C15" s="7" t="s">
        <v>88</v>
      </c>
      <c r="D15" s="7" t="s">
        <v>127</v>
      </c>
      <c r="E15" s="7" t="s">
        <v>128</v>
      </c>
    </row>
    <row r="16" spans="1:5" x14ac:dyDescent="0.2">
      <c r="A16" s="7" t="s">
        <v>129</v>
      </c>
      <c r="B16" s="7" t="s">
        <v>130</v>
      </c>
      <c r="C16" s="7" t="s">
        <v>131</v>
      </c>
      <c r="D16" s="7" t="s">
        <v>132</v>
      </c>
      <c r="E16" s="7" t="s">
        <v>133</v>
      </c>
    </row>
    <row r="17" spans="1:5" x14ac:dyDescent="0.2">
      <c r="A17" s="7" t="s">
        <v>134</v>
      </c>
      <c r="B17" s="7" t="s">
        <v>130</v>
      </c>
      <c r="C17" s="7" t="s">
        <v>82</v>
      </c>
      <c r="D17" s="7" t="s">
        <v>135</v>
      </c>
      <c r="E17" s="7" t="s">
        <v>136</v>
      </c>
    </row>
    <row r="18" spans="1:5" x14ac:dyDescent="0.2">
      <c r="A18" s="7" t="s">
        <v>137</v>
      </c>
      <c r="B18" s="7" t="s">
        <v>130</v>
      </c>
      <c r="C18" s="7" t="s">
        <v>138</v>
      </c>
      <c r="D18" s="7" t="s">
        <v>139</v>
      </c>
      <c r="E18" s="7" t="s">
        <v>140</v>
      </c>
    </row>
    <row r="19" spans="1:5" x14ac:dyDescent="0.2">
      <c r="A19" s="7" t="s">
        <v>141</v>
      </c>
      <c r="B19" s="7" t="s">
        <v>130</v>
      </c>
      <c r="C19" s="7" t="s">
        <v>142</v>
      </c>
      <c r="D19" s="7" t="s">
        <v>143</v>
      </c>
      <c r="E19" s="7" t="s">
        <v>144</v>
      </c>
    </row>
    <row r="20" spans="1:5" x14ac:dyDescent="0.2">
      <c r="A20" s="7" t="s">
        <v>145</v>
      </c>
      <c r="B20" s="7" t="s">
        <v>130</v>
      </c>
      <c r="C20" s="7" t="s">
        <v>88</v>
      </c>
      <c r="D20" s="7" t="s">
        <v>146</v>
      </c>
      <c r="E20" s="7" t="s">
        <v>147</v>
      </c>
    </row>
    <row r="21" spans="1:5" x14ac:dyDescent="0.2">
      <c r="A21" s="7" t="s">
        <v>148</v>
      </c>
      <c r="B21" s="7" t="s">
        <v>130</v>
      </c>
      <c r="C21" s="7" t="s">
        <v>149</v>
      </c>
      <c r="D21" s="7" t="s">
        <v>150</v>
      </c>
      <c r="E21" s="7" t="s">
        <v>151</v>
      </c>
    </row>
    <row r="22" spans="1:5" x14ac:dyDescent="0.2">
      <c r="A22" s="7" t="s">
        <v>152</v>
      </c>
      <c r="B22" s="7" t="s">
        <v>130</v>
      </c>
      <c r="C22" s="7" t="s">
        <v>153</v>
      </c>
      <c r="D22" s="7" t="s">
        <v>154</v>
      </c>
      <c r="E22" s="7" t="s">
        <v>155</v>
      </c>
    </row>
    <row r="23" spans="1:5" x14ac:dyDescent="0.2">
      <c r="A23" s="7" t="s">
        <v>156</v>
      </c>
      <c r="B23" s="7" t="s">
        <v>157</v>
      </c>
      <c r="C23" s="7" t="s">
        <v>149</v>
      </c>
      <c r="D23" s="7" t="s">
        <v>158</v>
      </c>
      <c r="E23" s="7" t="s">
        <v>159</v>
      </c>
    </row>
  </sheetData>
  <autoFilter ref="A1:E1" xr:uid="{00000000-0009-0000-0000-000003000000}">
    <sortState xmlns:xlrd2="http://schemas.microsoft.com/office/spreadsheetml/2017/richdata2" ref="A2:E24">
      <sortCondition ref="B1:B24"/>
    </sortState>
  </autoFilter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"/>
  <sheetViews>
    <sheetView workbookViewId="0">
      <selection activeCell="B8" sqref="B8"/>
    </sheetView>
  </sheetViews>
  <sheetFormatPr baseColWidth="10" defaultRowHeight="15" x14ac:dyDescent="0.2"/>
  <cols>
    <col min="1" max="1" width="8.1640625" bestFit="1" customWidth="1"/>
    <col min="2" max="2" width="41.6640625" bestFit="1" customWidth="1"/>
    <col min="3" max="3" width="50.1640625" bestFit="1" customWidth="1"/>
    <col min="4" max="4" width="86.33203125" bestFit="1" customWidth="1"/>
    <col min="5" max="5" width="90" bestFit="1" customWidth="1"/>
  </cols>
  <sheetData>
    <row r="1" spans="1:5" s="1" customFormat="1" ht="16" customHeight="1" x14ac:dyDescent="0.2">
      <c r="A1" s="7" t="s">
        <v>21</v>
      </c>
      <c r="B1" s="7" t="s">
        <v>3</v>
      </c>
      <c r="C1" s="7" t="s">
        <v>72</v>
      </c>
      <c r="D1" s="7" t="s">
        <v>73</v>
      </c>
      <c r="E1" s="7" t="s">
        <v>74</v>
      </c>
    </row>
    <row r="2" spans="1:5" s="1" customFormat="1" ht="16" customHeight="1" x14ac:dyDescent="0.2">
      <c r="A2" s="7" t="s">
        <v>160</v>
      </c>
      <c r="B2" s="7" t="s">
        <v>161</v>
      </c>
      <c r="C2" s="7" t="s">
        <v>162</v>
      </c>
      <c r="D2" s="7" t="s">
        <v>163</v>
      </c>
      <c r="E2" s="7" t="s">
        <v>164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5"/>
  <sheetViews>
    <sheetView workbookViewId="0">
      <selection activeCell="P42" sqref="P42"/>
    </sheetView>
  </sheetViews>
  <sheetFormatPr baseColWidth="10" defaultRowHeight="15" x14ac:dyDescent="0.2"/>
  <sheetData>
    <row r="1" spans="1:1" ht="26" customHeight="1" x14ac:dyDescent="0.35">
      <c r="A1" s="2" t="s">
        <v>165</v>
      </c>
    </row>
    <row r="2" spans="1:1" ht="26" customHeight="1" x14ac:dyDescent="0.35">
      <c r="A2" s="2" t="s">
        <v>166</v>
      </c>
    </row>
    <row r="3" spans="1:1" ht="26" customHeight="1" x14ac:dyDescent="0.35">
      <c r="A3" s="2" t="s">
        <v>167</v>
      </c>
    </row>
    <row r="4" spans="1:1" ht="26" customHeight="1" x14ac:dyDescent="0.2"/>
    <row r="5" spans="1:1" ht="26" customHeight="1" x14ac:dyDescent="0.35">
      <c r="A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GlobalETF</vt:lpstr>
      <vt:lpstr>GrowthEngine</vt:lpstr>
      <vt:lpstr>IncomeStrategy</vt:lpstr>
      <vt:lpstr>Gold</vt:lpstr>
      <vt:lpstr>Todo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Hong Kiat Koh</cp:lastModifiedBy>
  <dcterms:created xsi:type="dcterms:W3CDTF">2026-01-14T14:20:58Z</dcterms:created>
  <dcterms:modified xsi:type="dcterms:W3CDTF">2026-01-25T11:07:12Z</dcterms:modified>
</cp:coreProperties>
</file>