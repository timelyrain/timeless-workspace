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31BC4395-0C6C-7341-BC3A-F2580D79D838}" xr6:coauthVersionLast="47" xr6:coauthVersionMax="47" xr10:uidLastSave="{00000000-0000-0000-0000-000000000000}"/>
  <bookViews>
    <workbookView xWindow="14300" yWindow="1480" windowWidth="3210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" l="1"/>
  <c r="I14" i="1"/>
  <c r="F14" i="1"/>
  <c r="I17" i="1"/>
  <c r="I13" i="1"/>
  <c r="I10" i="1"/>
  <c r="I9" i="1"/>
  <c r="F17" i="1"/>
  <c r="F13" i="1"/>
  <c r="F10" i="1"/>
  <c r="F9" i="1"/>
  <c r="I24" i="1"/>
  <c r="F24" i="1"/>
  <c r="F4" i="1" a="1"/>
  <c r="F4" i="1" s="1"/>
  <c r="I23" i="1"/>
  <c r="F23" i="1"/>
  <c r="I22" i="1"/>
  <c r="F22" i="1"/>
  <c r="I21" i="1" a="1"/>
  <c r="I21" i="1" s="1"/>
  <c r="F21" i="1" a="1"/>
  <c r="F21" i="1" s="1"/>
  <c r="F20" i="1" s="1"/>
  <c r="I19" i="1" a="1"/>
  <c r="I19" i="1" s="1"/>
  <c r="F19" i="1" a="1"/>
  <c r="F19" i="1" s="1"/>
  <c r="I18" i="1"/>
  <c r="F18" i="1"/>
  <c r="I16" i="1"/>
  <c r="F16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9" i="1"/>
  <c r="A58" i="1"/>
  <c r="A57" i="1"/>
  <c r="A56" i="1"/>
  <c r="A55" i="1"/>
  <c r="A54" i="1"/>
  <c r="A53" i="1"/>
  <c r="C25" i="1"/>
  <c r="I7" i="3"/>
  <c r="K17" i="1" l="1"/>
  <c r="K9" i="1"/>
  <c r="G47" i="1"/>
  <c r="K24" i="1"/>
  <c r="C59" i="1" s="1"/>
  <c r="I11" i="1"/>
  <c r="H2" i="1" s="1"/>
  <c r="F11" i="1"/>
  <c r="K10" i="1"/>
  <c r="K8" i="1"/>
  <c r="K7" i="1"/>
  <c r="K5" i="1"/>
  <c r="K6" i="1"/>
  <c r="I20" i="1"/>
  <c r="K21" i="1"/>
  <c r="C56" i="1" s="1"/>
  <c r="K22" i="1"/>
  <c r="C57" i="1" s="1"/>
  <c r="K23" i="1"/>
  <c r="C58" i="1" s="1"/>
  <c r="K12" i="1"/>
  <c r="K13" i="1"/>
  <c r="K15" i="1"/>
  <c r="K18" i="1"/>
  <c r="K16" i="1"/>
  <c r="K19" i="1"/>
  <c r="C55" i="1" s="1"/>
  <c r="K4" i="1"/>
  <c r="C53" i="1" s="1"/>
  <c r="H19" i="1" l="1"/>
  <c r="J19" i="1" s="1"/>
  <c r="H24" i="1"/>
  <c r="H23" i="1"/>
  <c r="H11" i="1"/>
  <c r="H20" i="1"/>
  <c r="H4" i="1"/>
  <c r="H9" i="1" s="1"/>
  <c r="J9" i="1" s="1"/>
  <c r="J20" i="1"/>
  <c r="K20" i="1"/>
  <c r="E2" i="1"/>
  <c r="K11" i="1"/>
  <c r="C54" i="1" s="1"/>
  <c r="H17" i="1" l="1"/>
  <c r="J17" i="1" s="1"/>
  <c r="H14" i="1"/>
  <c r="J14" i="1" s="1"/>
  <c r="H22" i="1"/>
  <c r="H21" i="1"/>
  <c r="K2" i="3"/>
  <c r="H16" i="1"/>
  <c r="J16" i="1" s="1"/>
  <c r="K5" i="3"/>
  <c r="H12" i="1"/>
  <c r="J12" i="1" s="1"/>
  <c r="H18" i="1"/>
  <c r="J18" i="1" s="1"/>
  <c r="K4" i="3"/>
  <c r="K3" i="3"/>
  <c r="H15" i="1"/>
  <c r="J15" i="1" s="1"/>
  <c r="H13" i="1"/>
  <c r="J13" i="1" s="1"/>
  <c r="K6" i="3"/>
  <c r="G23" i="1"/>
  <c r="J23" i="1"/>
  <c r="J11" i="1"/>
  <c r="G24" i="1"/>
  <c r="J24" i="1"/>
  <c r="E24" i="1"/>
  <c r="G43" i="1"/>
  <c r="E23" i="1"/>
  <c r="E11" i="1"/>
  <c r="E20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E17" i="1" l="1"/>
  <c r="G17" i="1" s="1"/>
  <c r="E14" i="1"/>
  <c r="G14" i="1" s="1"/>
  <c r="E21" i="1"/>
  <c r="G20" i="1"/>
  <c r="E22" i="1"/>
  <c r="J2" i="3"/>
  <c r="E12" i="1"/>
  <c r="G12" i="1" s="1"/>
  <c r="E15" i="1"/>
  <c r="G15" i="1" s="1"/>
  <c r="E16" i="1"/>
  <c r="G16" i="1" s="1"/>
  <c r="J4" i="3"/>
  <c r="E18" i="1"/>
  <c r="G18" i="1" s="1"/>
  <c r="J5" i="3"/>
  <c r="J3" i="3"/>
  <c r="E13" i="1"/>
  <c r="G13" i="1" s="1"/>
  <c r="J6" i="3"/>
  <c r="G11" i="1"/>
  <c r="J21" i="1"/>
  <c r="G21" i="1"/>
  <c r="G45" i="1"/>
  <c r="H44" i="1" s="1"/>
  <c r="H46" i="1"/>
  <c r="D24" i="1"/>
  <c r="D11" i="1"/>
  <c r="D23" i="1"/>
  <c r="D4" i="1"/>
  <c r="D9" i="1" s="1"/>
  <c r="L9" i="1" s="1"/>
  <c r="D20" i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G22" i="1"/>
  <c r="J22" i="1"/>
  <c r="D17" i="1" l="1"/>
  <c r="L17" i="1" s="1"/>
  <c r="D14" i="1"/>
  <c r="L14" i="1" s="1"/>
  <c r="B54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9" i="1"/>
  <c r="L24" i="1"/>
  <c r="B55" i="1"/>
  <c r="L19" i="1"/>
  <c r="D21" i="1"/>
  <c r="D22" i="1"/>
  <c r="L20" i="1"/>
  <c r="B53" i="1"/>
  <c r="D7" i="1"/>
  <c r="L7" i="1" s="1"/>
  <c r="D8" i="1"/>
  <c r="L8" i="1" s="1"/>
  <c r="D6" i="1"/>
  <c r="L6" i="1" s="1"/>
  <c r="D5" i="1"/>
  <c r="L5" i="1" s="1"/>
  <c r="D10" i="1"/>
  <c r="L10" i="1" s="1"/>
  <c r="L4" i="1"/>
  <c r="B58" i="1"/>
  <c r="L23" i="1"/>
  <c r="B57" i="1" l="1"/>
  <c r="L22" i="1"/>
  <c r="L21" i="1"/>
  <c r="B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21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F22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F23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<sst xmlns="http://schemas.openxmlformats.org/spreadsheetml/2006/main" count="258" uniqueCount="192">
  <si>
    <t>HK</t>
  </si>
  <si>
    <t>AL</t>
  </si>
  <si>
    <t>TOTAL</t>
  </si>
  <si>
    <t>Category</t>
  </si>
  <si>
    <t>Percent</t>
  </si>
  <si>
    <t>Target</t>
  </si>
  <si>
    <t>Actual HK</t>
  </si>
  <si>
    <t>Actual AL</t>
  </si>
  <si>
    <t>Actual Total</t>
  </si>
  <si>
    <t>Actual %</t>
  </si>
  <si>
    <t>Remarks</t>
  </si>
  <si>
    <t>Digital: 100 US Tech giants. Your core foundation.</t>
  </si>
  <si>
    <t>Manufacturing: 150+ China Hard Tech &amp; AI leaders.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</si>
  <si>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</si>
  <si>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</si>
  <si>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</si>
  <si>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</si>
  <si>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</si>
  <si>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</si>
  <si>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</si>
  <si>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</si>
  <si>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</si>
  <si>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</si>
  <si>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</si>
  <si>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</si>
  <si>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</si>
  <si>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</si>
  <si>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</si>
  <si>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</si>
  <si>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</si>
  <si>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</si>
  <si>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</si>
  <si>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</si>
  <si>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</si>
  <si>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</si>
  <si>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</si>
  <si>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</si>
  <si>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</si>
  <si>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</si>
  <si>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</si>
  <si>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</si>
  <si>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</si>
  <si>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</si>
  <si>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</si>
  <si>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</si>
  <si>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</si>
  <si>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</si>
  <si>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</si>
  <si>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</si>
  <si>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</si>
  <si>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</si>
  <si>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</si>
  <si>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</si>
  <si>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</si>
  <si>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</si>
  <si>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</si>
  <si>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</si>
  <si>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</si>
  <si>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</si>
  <si>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</si>
  <si>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</si>
  <si>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</si>
  <si>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</si>
  <si>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</si>
  <si>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</si>
  <si>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</si>
  <si>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</si>
  <si>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</si>
  <si>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</si>
  <si>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</si>
  <si>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</si>
  <si>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</si>
  <si>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</si>
  <si>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</si>
  <si>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</si>
  <si>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</si>
  <si>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</si>
  <si>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</si>
  <si>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</si>
  <si>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</si>
  <si>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</si>
  <si>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</si>
  <si>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</si>
  <si>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</si>
  <si>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</si>
  <si>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</si>
  <si>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</si>
  <si>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</si>
  <si>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</si>
  <si>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</si>
  <si>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</si>
  <si>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</si>
  <si>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</si>
  <si>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</si>
  <si>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</si>
  <si>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</si>
  <si>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</si>
  <si>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</si>
  <si>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</si>
  <si>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</si>
  <si>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</si>
  <si>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</si>
  <si>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</si>
  <si>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</si>
  <si>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</si>
  <si>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</si>
  <si>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</si>
  <si>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</si>
  <si>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</si>
  <si>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</si>
  <si>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</si>
  <si>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</si>
  <si>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</si>
  <si>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</si>
  <si>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</si>
  <si>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</si>
  <si>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</si>
  <si>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</si>
  <si>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</si>
  <si>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</si>
  <si>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</si>
  <si>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</si>
  <si>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</si>
  <si>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</si>
  <si>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</si>
  <si>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</si>
  <si>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</si>
  <si>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</si>
  <si>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</si>
  <si>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</si>
  <si>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</si>
  <si>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</si>
  <si>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</si>
  <si>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</si>
  <si>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</si>
  <si>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</si>
  <si>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</si>
  <si>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</si>
  <si>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</si>
  <si>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</si>
  <si>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</si>
  <si>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</si>
  <si>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</si>
  <si>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</si>
  <si>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</si>
  <si>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</si>
  <si>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</si>
  <si>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</si>
  <si>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</si>
  <si>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</si>
  <si>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</si>
  <si>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</si>
  <si>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</si>
  <si>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</si>
  <si>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</si>
  <si>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</si>
  <si>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</si>
  <si>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</si>
  <si>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</si>
  <si>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</si>
  <si>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</si>
  <si>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</si>
  <si>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</si>
  <si>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</si>
  <si>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</si>
  <si>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Reserve: Cash</t>
  </si>
  <si>
    <t>The Sniper (theme stocks)</t>
  </si>
  <si>
    <t>Reserve: Gold</t>
  </si>
  <si>
    <t>Biotic (HEAL)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</si>
  <si>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</si>
  <si>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</si>
  <si>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</si>
  <si>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</si>
  <si>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</si>
  <si>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</si>
  <si>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</si>
  <si>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</si>
  <si>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</si>
  <si>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</si>
  <si>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Global Traids (The strategic core)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</si>
  <si>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</si>
  <si>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</si>
  <si>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</si>
  <si>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</si>
  <si>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</si>
  <si>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</si>
  <si>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</si>
  <si>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Cash Cow (The Income Strategy)</t>
  </si>
  <si>
    <t>Four Horsemen (The growth engine)</t>
  </si>
  <si>
    <t>The Hedge (bear spreads 4xQQQ, 4xSPY)</t>
  </si>
  <si>
    <t>China Tech (CBUK, unhedged)</t>
  </si>
  <si>
    <t>Alpha &amp; Omega (The circuit breaker)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</si>
</sst>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3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  <xf numFmtId="166" fontId="11" fillId="0" borderId="0" xfId="3" applyNumberFormat="1" applyFont="1"/>
    <xf numFmtId="10" fontId="14" fillId="0" borderId="0" xfId="2" applyNumberFormat="1" applyFont="1"/>
    <xf numFmtId="165" fontId="3" fillId="0" borderId="0" xfId="1" applyNumberFormat="1" applyFont="1"/>
    <xf numFmtId="165" fontId="9" fillId="0" borderId="0" xfId="1" applyNumberFormat="1" applyFont="1"/>
    <xf numFmtId="165" fontId="6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9" fillId="0" borderId="5" xfId="1" applyNumberFormat="1" applyFont="1" applyBorder="1"/>
    <xf numFmtId="165" fontId="6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9" fillId="0" borderId="7" xfId="2" applyFont="1" applyBorder="1"/>
    <xf numFmtId="9" fontId="6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6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9" fillId="0" borderId="5" xfId="0" applyNumberFormat="1" applyFont="1" applyBorder="1"/>
    <xf numFmtId="165" fontId="6" fillId="0" borderId="5" xfId="0" applyNumberFormat="1" applyFont="1" applyBorder="1"/>
    <xf numFmtId="165" fontId="3" fillId="0" borderId="4" xfId="0" applyNumberFormat="1" applyFont="1" applyBorder="1"/>
    <xf numFmtId="0" fontId="2" fillId="0" borderId="0" xfId="0" applyFont="1" applyBorder="1"/>
    <xf numFmtId="0" fontId="3" fillId="0" borderId="1" xfId="0" applyFont="1" applyBorder="1"/>
    <xf numFmtId="0" fontId="6" fillId="0" borderId="0" xfId="0" applyFont="1" applyBorder="1" applyAlignment="1">
      <alignment horizontal="left" indent="4"/>
    </xf>
    <xf numFmtId="164" fontId="3" fillId="0" borderId="0" xfId="2" applyNumberFormat="1" applyFont="1"/>
    <xf numFmtId="164" fontId="9" fillId="0" borderId="0" xfId="2" applyNumberFormat="1" applyFont="1"/>
    <xf numFmtId="164" fontId="6" fillId="0" borderId="0" xfId="2" applyNumberFormat="1" applyFont="1"/>
    <xf numFmtId="165" fontId="10" fillId="2" borderId="1" xfId="1" applyNumberFormat="1" applyFont="1" applyFill="1" applyBorder="1" applyAlignment="1">
      <alignment horizontal="right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40"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Dashboard!$A$53:$A$59</c:f>
              <c:strCache>
                <c:ptCount val="7"/>
                <c:pt idx="0">
                  <c:v>Global Traids (The strategic core)</c:v>
                </c:pt>
                <c:pt idx="1">
                  <c:v>Four Horsemen (The growth engine)</c:v>
                </c:pt>
                <c:pt idx="2">
                  <c:v>Cash Cow (The Income Strategy)</c:v>
                </c:pt>
                <c:pt idx="3">
                  <c:v>The Sniper (theme stocks)</c:v>
                </c:pt>
                <c:pt idx="4">
                  <c:v>The Hedge (bear spreads 4xQQQ, 4xSPY)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Dashboard!$B$53:$B$59</c:f>
              <c:numCache>
                <c:formatCode>_("$"* #,##0_);_("$"* \(#,##0\);_("$"* "-"??_);_(@_)</c:formatCode>
                <c:ptCount val="7"/>
                <c:pt idx="0">
                  <c:v>311419.48346999998</c:v>
                </c:pt>
                <c:pt idx="1">
                  <c:v>311419.48346999998</c:v>
                </c:pt>
                <c:pt idx="2">
                  <c:v>259516.23622499997</c:v>
                </c:pt>
                <c:pt idx="3">
                  <c:v>25951.623622499999</c:v>
                </c:pt>
                <c:pt idx="4">
                  <c:v>25951.623622499999</c:v>
                </c:pt>
                <c:pt idx="5">
                  <c:v>51903.247244999999</c:v>
                </c:pt>
                <c:pt idx="6">
                  <c:v>51903.247244999999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Dashboard!$A$53:$A$59</c:f>
              <c:strCache>
                <c:ptCount val="7"/>
                <c:pt idx="0">
                  <c:v>Global Traids (The strategic core)</c:v>
                </c:pt>
                <c:pt idx="1">
                  <c:v>Four Horsemen (The growth engine)</c:v>
                </c:pt>
                <c:pt idx="2">
                  <c:v>Cash Cow (The Income Strategy)</c:v>
                </c:pt>
                <c:pt idx="3">
                  <c:v>The Sniper (theme stocks)</c:v>
                </c:pt>
                <c:pt idx="4">
                  <c:v>The Hedge (bear spreads 4xQQQ, 4xSPY)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Dashboard!$C$53:$C$59</c:f>
              <c:numCache>
                <c:formatCode>_("$"* #,##0_);_("$"* \(#,##0\);_("$"* "-"??_);_(@_)</c:formatCode>
                <c:ptCount val="7"/>
                <c:pt idx="0">
                  <c:v>221311.57490000001</c:v>
                </c:pt>
                <c:pt idx="1">
                  <c:v>158901.74780000001</c:v>
                </c:pt>
                <c:pt idx="2">
                  <c:v>153695</c:v>
                </c:pt>
                <c:pt idx="3">
                  <c:v>179024.47579999996</c:v>
                </c:pt>
                <c:pt idx="4">
                  <c:v>18733.440000000002</c:v>
                </c:pt>
                <c:pt idx="5">
                  <c:v>50628.296399999999</c:v>
                </c:pt>
                <c:pt idx="6">
                  <c:v>293237.29000000004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(Dashboard!$G$44,Dashboard!$G$46)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(Dashboard!$H$44,Dashboard!$H$46)</c:f>
              <c:numCache>
                <c:formatCode>0.00%</c:formatCode>
                <c:ptCount val="2"/>
                <c:pt idx="0">
                  <c:v>0.71751546814034017</c:v>
                </c:pt>
                <c:pt idx="1">
                  <c:v>0.28248453185965983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25</xdr:row>
      <xdr:rowOff>101600</xdr:rowOff>
    </xdr:from>
    <xdr:to>
      <xdr:col>5</xdr:col>
      <xdr:colOff>1219200</xdr:colOff>
      <xdr:row>49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12700</xdr:colOff>
      <xdr:row>25</xdr:row>
      <xdr:rowOff>88900</xdr:rowOff>
    </xdr:from>
    <xdr:to>
      <xdr:col>9</xdr:col>
      <xdr:colOff>12700</xdr:colOff>
      <xdr:row>38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T2" t="str">
            <v>Long</v>
          </cell>
          <cell r="V2">
            <v>21460.376799999998</v>
          </cell>
        </row>
        <row r="3">
          <cell r="D3" t="str">
            <v>STK</v>
          </cell>
          <cell r="F3" t="str">
            <v>WORLD</v>
          </cell>
          <cell r="T3" t="str">
            <v>Long</v>
          </cell>
          <cell r="V3">
            <v>20804.541300000001</v>
          </cell>
        </row>
        <row r="4">
          <cell r="D4" t="str">
            <v>STK</v>
          </cell>
          <cell r="F4" t="str">
            <v>XMME</v>
          </cell>
          <cell r="T4" t="str">
            <v>Long</v>
          </cell>
          <cell r="V4">
            <v>12489.9864</v>
          </cell>
        </row>
        <row r="5">
          <cell r="D5" t="str">
            <v>STK</v>
          </cell>
          <cell r="F5" t="str">
            <v>82846</v>
          </cell>
          <cell r="T5" t="str">
            <v>Long</v>
          </cell>
          <cell r="V5">
            <v>9192.3216000000011</v>
          </cell>
        </row>
        <row r="6">
          <cell r="D6" t="str">
            <v>STK</v>
          </cell>
          <cell r="F6" t="str">
            <v>CBUK</v>
          </cell>
          <cell r="T6" t="str">
            <v>Long</v>
          </cell>
          <cell r="V6">
            <v>21933.266199999998</v>
          </cell>
        </row>
        <row r="7">
          <cell r="D7" t="str">
            <v>STK</v>
          </cell>
          <cell r="F7" t="str">
            <v>ES3</v>
          </cell>
          <cell r="T7" t="str">
            <v>Long</v>
          </cell>
          <cell r="V7">
            <v>19845.627899999999</v>
          </cell>
        </row>
        <row r="8">
          <cell r="D8" t="str">
            <v>STK</v>
          </cell>
          <cell r="F8" t="str">
            <v>GSD</v>
          </cell>
          <cell r="T8" t="str">
            <v>Long</v>
          </cell>
          <cell r="V8">
            <v>25314.1482</v>
          </cell>
        </row>
        <row r="9">
          <cell r="D9" t="str">
            <v>STK</v>
          </cell>
          <cell r="F9" t="str">
            <v>BITO</v>
          </cell>
          <cell r="T9" t="str">
            <v>Long</v>
          </cell>
          <cell r="V9">
            <v>1166</v>
          </cell>
        </row>
        <row r="10">
          <cell r="D10" t="str">
            <v>STK</v>
          </cell>
          <cell r="F10" t="str">
            <v>CELH</v>
          </cell>
          <cell r="T10" t="str">
            <v>Long</v>
          </cell>
          <cell r="V10">
            <v>2668.5</v>
          </cell>
        </row>
        <row r="11">
          <cell r="D11" t="str">
            <v>STK</v>
          </cell>
          <cell r="F11" t="str">
            <v>CHA</v>
          </cell>
          <cell r="T11" t="str">
            <v>Long</v>
          </cell>
          <cell r="V11">
            <v>1206</v>
          </cell>
        </row>
        <row r="12">
          <cell r="D12" t="str">
            <v>STK</v>
          </cell>
          <cell r="F12" t="str">
            <v>CSNDX</v>
          </cell>
          <cell r="T12" t="str">
            <v>Long</v>
          </cell>
          <cell r="V12">
            <v>21996</v>
          </cell>
        </row>
        <row r="13">
          <cell r="D13" t="str">
            <v>STK</v>
          </cell>
          <cell r="F13" t="str">
            <v>GOOGL</v>
          </cell>
          <cell r="T13" t="str">
            <v>Long</v>
          </cell>
          <cell r="V13">
            <v>33825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V14">
            <v>9372.5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10423.450000000001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V16">
            <v>1630.5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9850</v>
          </cell>
        </row>
        <row r="18">
          <cell r="D18" t="str">
            <v>STK</v>
          </cell>
          <cell r="F18" t="str">
            <v>NVDA</v>
          </cell>
          <cell r="T18" t="str">
            <v>Long</v>
          </cell>
          <cell r="V18">
            <v>38502</v>
          </cell>
        </row>
        <row r="19">
          <cell r="D19" t="str">
            <v>STK</v>
          </cell>
          <cell r="F19" t="str">
            <v>ORCL</v>
          </cell>
          <cell r="T19" t="str">
            <v>Long</v>
          </cell>
          <cell r="V19">
            <v>16901</v>
          </cell>
        </row>
        <row r="20">
          <cell r="D20" t="str">
            <v>STK</v>
          </cell>
          <cell r="F20" t="str">
            <v>SE</v>
          </cell>
          <cell r="T20" t="str">
            <v>Long</v>
          </cell>
          <cell r="V20">
            <v>1219</v>
          </cell>
        </row>
        <row r="21">
          <cell r="D21" t="str">
            <v>STK</v>
          </cell>
          <cell r="F21" t="str">
            <v>VWRA</v>
          </cell>
          <cell r="T21" t="str">
            <v>Long</v>
          </cell>
          <cell r="V21">
            <v>34908</v>
          </cell>
        </row>
        <row r="22">
          <cell r="D22" t="str">
            <v>OPT</v>
          </cell>
          <cell r="F22" t="str">
            <v>QQQ   261218P00560000</v>
          </cell>
          <cell r="T22" t="str">
            <v>Long</v>
          </cell>
          <cell r="V22">
            <v>4808.72</v>
          </cell>
        </row>
        <row r="23">
          <cell r="D23" t="str">
            <v>OPT</v>
          </cell>
          <cell r="F23" t="str">
            <v>SPY   261218P00620000</v>
          </cell>
          <cell r="T23" t="str">
            <v>Long</v>
          </cell>
          <cell r="V23">
            <v>4123</v>
          </cell>
        </row>
        <row r="24">
          <cell r="D24" t="str">
            <v>FOP</v>
          </cell>
          <cell r="F24" t="str">
            <v>EW2G6 P6525</v>
          </cell>
          <cell r="T24" t="str">
            <v>Long</v>
          </cell>
          <cell r="V24">
            <v>800</v>
          </cell>
        </row>
        <row r="25">
          <cell r="D25" t="str">
            <v>FOP</v>
          </cell>
          <cell r="F25" t="str">
            <v>EW2G6 C7300</v>
          </cell>
          <cell r="T25" t="str">
            <v>Long</v>
          </cell>
          <cell r="V25">
            <v>70</v>
          </cell>
        </row>
        <row r="26">
          <cell r="D26" t="str">
            <v>OPT</v>
          </cell>
          <cell r="F26" t="str">
            <v>GOOGL 260227P00310000</v>
          </cell>
          <cell r="T26" t="str">
            <v>Short</v>
          </cell>
          <cell r="V26">
            <v>-450</v>
          </cell>
        </row>
        <row r="27">
          <cell r="D27" t="str">
            <v>OPT</v>
          </cell>
          <cell r="F27" t="str">
            <v>GOOGL 260227C00370000</v>
          </cell>
          <cell r="T27" t="str">
            <v>Short</v>
          </cell>
          <cell r="V27">
            <v>-457.5</v>
          </cell>
        </row>
        <row r="28">
          <cell r="D28" t="str">
            <v>OPT</v>
          </cell>
          <cell r="F28" t="str">
            <v>NVDA  260130C00195000</v>
          </cell>
          <cell r="T28" t="str">
            <v>Short</v>
          </cell>
          <cell r="V28">
            <v>-112.16</v>
          </cell>
        </row>
        <row r="29">
          <cell r="D29" t="str">
            <v>OPT</v>
          </cell>
          <cell r="F29" t="str">
            <v>ORCL  260213C00175000</v>
          </cell>
          <cell r="T29" t="str">
            <v>Short</v>
          </cell>
          <cell r="V29">
            <v>-550</v>
          </cell>
        </row>
        <row r="30">
          <cell r="D30" t="str">
            <v>OPT</v>
          </cell>
          <cell r="F30" t="str">
            <v>ORCL  260220C00200000</v>
          </cell>
          <cell r="T30" t="str">
            <v>Short</v>
          </cell>
          <cell r="V30">
            <v>-133.5</v>
          </cell>
        </row>
        <row r="31">
          <cell r="D31" t="str">
            <v>OPT</v>
          </cell>
          <cell r="F31" t="str">
            <v>QQQ   261218P00425000</v>
          </cell>
          <cell r="T31" t="str">
            <v>Short</v>
          </cell>
          <cell r="V31">
            <v>-1328.88</v>
          </cell>
        </row>
        <row r="32">
          <cell r="D32" t="str">
            <v>OPT</v>
          </cell>
          <cell r="F32" t="str">
            <v>SPY   261218P00505000</v>
          </cell>
          <cell r="T32" t="str">
            <v>Short</v>
          </cell>
          <cell r="V32">
            <v>-1529</v>
          </cell>
        </row>
        <row r="33">
          <cell r="D33" t="str">
            <v>FOP</v>
          </cell>
          <cell r="F33" t="str">
            <v>EW2G6 P6625</v>
          </cell>
          <cell r="T33" t="str">
            <v>Short</v>
          </cell>
          <cell r="V33">
            <v>-1250</v>
          </cell>
        </row>
        <row r="34">
          <cell r="D34" t="str">
            <v>FOP</v>
          </cell>
          <cell r="F34" t="str">
            <v>EW2G6 C7200</v>
          </cell>
          <cell r="T34" t="str">
            <v>Short</v>
          </cell>
          <cell r="V34">
            <v>-405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T2" t="str">
            <v>Long</v>
          </cell>
          <cell r="V2">
            <v>26825.471000000001</v>
          </cell>
        </row>
        <row r="3">
          <cell r="D3" t="str">
            <v>STK</v>
          </cell>
          <cell r="F3" t="str">
            <v>WORLD</v>
          </cell>
          <cell r="T3" t="str">
            <v>Long</v>
          </cell>
          <cell r="V3">
            <v>25427.772700000001</v>
          </cell>
        </row>
        <row r="4">
          <cell r="D4" t="str">
            <v>STK</v>
          </cell>
          <cell r="F4" t="str">
            <v>XMME</v>
          </cell>
          <cell r="T4" t="str">
            <v>Long</v>
          </cell>
          <cell r="V4">
            <v>16653.315200000001</v>
          </cell>
        </row>
        <row r="5">
          <cell r="D5" t="str">
            <v>STK</v>
          </cell>
          <cell r="F5" t="str">
            <v>82846</v>
          </cell>
          <cell r="T5" t="str">
            <v>Long</v>
          </cell>
          <cell r="V5">
            <v>9192.3216000000011</v>
          </cell>
        </row>
        <row r="6">
          <cell r="D6" t="str">
            <v>STK</v>
          </cell>
          <cell r="F6" t="str">
            <v>CBUK</v>
          </cell>
          <cell r="T6" t="str">
            <v>Long</v>
          </cell>
          <cell r="V6">
            <v>21933.266199999998</v>
          </cell>
        </row>
        <row r="7">
          <cell r="D7" t="str">
            <v>STK</v>
          </cell>
          <cell r="F7" t="str">
            <v>DHL</v>
          </cell>
          <cell r="T7" t="str">
            <v>Long</v>
          </cell>
          <cell r="V7">
            <v>56120.048000000003</v>
          </cell>
        </row>
        <row r="8">
          <cell r="D8" t="str">
            <v>STK</v>
          </cell>
          <cell r="F8" t="str">
            <v>ES3</v>
          </cell>
          <cell r="T8" t="str">
            <v>Long</v>
          </cell>
          <cell r="V8">
            <v>39691.255799999999</v>
          </cell>
        </row>
        <row r="9">
          <cell r="D9" t="str">
            <v>STK</v>
          </cell>
          <cell r="F9" t="str">
            <v>GSD</v>
          </cell>
          <cell r="T9" t="str">
            <v>Long</v>
          </cell>
          <cell r="V9">
            <v>25314.1482</v>
          </cell>
        </row>
        <row r="10">
          <cell r="D10" t="str">
            <v>STK</v>
          </cell>
          <cell r="F10" t="str">
            <v>BITO</v>
          </cell>
          <cell r="T10" t="str">
            <v>Long</v>
          </cell>
          <cell r="V10">
            <v>2332</v>
          </cell>
        </row>
        <row r="11">
          <cell r="D11" t="str">
            <v>STK</v>
          </cell>
          <cell r="F11" t="str">
            <v>CSNDX</v>
          </cell>
          <cell r="T11" t="str">
            <v>Long</v>
          </cell>
          <cell r="V11">
            <v>29328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V12">
            <v>33825</v>
          </cell>
        </row>
        <row r="13">
          <cell r="D13" t="str">
            <v>STK</v>
          </cell>
          <cell r="F13" t="str">
            <v>HEAL</v>
          </cell>
          <cell r="T13" t="str">
            <v>Long</v>
          </cell>
          <cell r="V13">
            <v>9372.5</v>
          </cell>
        </row>
        <row r="14">
          <cell r="D14" t="str">
            <v>STK</v>
          </cell>
          <cell r="F14" t="str">
            <v>IBKR</v>
          </cell>
          <cell r="T14" t="str">
            <v>Long</v>
          </cell>
          <cell r="V14">
            <v>1274.48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10423.450000000001</v>
          </cell>
        </row>
        <row r="16">
          <cell r="D16" t="str">
            <v>STK</v>
          </cell>
          <cell r="F16" t="str">
            <v>JPM</v>
          </cell>
          <cell r="T16" t="str">
            <v>Long</v>
          </cell>
          <cell r="V16">
            <v>30642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9850</v>
          </cell>
        </row>
        <row r="18">
          <cell r="D18" t="str">
            <v>STK</v>
          </cell>
          <cell r="F18" t="str">
            <v>VWRA</v>
          </cell>
          <cell r="T18" t="str">
            <v>Long</v>
          </cell>
          <cell r="V18">
            <v>52362</v>
          </cell>
        </row>
        <row r="19">
          <cell r="D19" t="str">
            <v>OPT</v>
          </cell>
          <cell r="F19" t="str">
            <v>QQQ   261218P00560000</v>
          </cell>
          <cell r="T19" t="str">
            <v>Long</v>
          </cell>
          <cell r="V19">
            <v>4808.72</v>
          </cell>
        </row>
        <row r="20">
          <cell r="D20" t="str">
            <v>OPT</v>
          </cell>
          <cell r="F20" t="str">
            <v>SPY   261218P00620000</v>
          </cell>
          <cell r="T20" t="str">
            <v>Long</v>
          </cell>
          <cell r="V20">
            <v>4123</v>
          </cell>
        </row>
        <row r="21">
          <cell r="D21" t="str">
            <v>OPT</v>
          </cell>
          <cell r="F21" t="str">
            <v>GOOGL 260206C00335000</v>
          </cell>
          <cell r="T21" t="str">
            <v>Short</v>
          </cell>
          <cell r="V21">
            <v>-1271.25</v>
          </cell>
        </row>
        <row r="22">
          <cell r="D22" t="str">
            <v>OPT</v>
          </cell>
          <cell r="F22" t="str">
            <v>GOOGL 260220P00315000</v>
          </cell>
          <cell r="T22" t="str">
            <v>Short</v>
          </cell>
          <cell r="V22">
            <v>-480</v>
          </cell>
        </row>
        <row r="23">
          <cell r="D23" t="str">
            <v>OPT</v>
          </cell>
          <cell r="F23" t="str">
            <v>JPM   260206C00315000</v>
          </cell>
          <cell r="T23" t="str">
            <v>Short</v>
          </cell>
          <cell r="V23">
            <v>-122</v>
          </cell>
        </row>
        <row r="24">
          <cell r="D24" t="str">
            <v>OPT</v>
          </cell>
          <cell r="F24" t="str">
            <v>QQQ   260130P00608000</v>
          </cell>
          <cell r="T24" t="str">
            <v>Short</v>
          </cell>
          <cell r="V24">
            <v>-8.5</v>
          </cell>
        </row>
        <row r="25">
          <cell r="D25" t="str">
            <v>OPT</v>
          </cell>
          <cell r="F25" t="str">
            <v>QQQ   261218P00425000</v>
          </cell>
          <cell r="T25" t="str">
            <v>Short</v>
          </cell>
          <cell r="V25">
            <v>-1328.88</v>
          </cell>
        </row>
        <row r="26">
          <cell r="D26" t="str">
            <v>OPT</v>
          </cell>
          <cell r="F26" t="str">
            <v>SPY   261218P00505000</v>
          </cell>
          <cell r="T26" t="str">
            <v>Short</v>
          </cell>
          <cell r="V26">
            <v>-1529</v>
          </cell>
        </row>
      </sheetData>
      <sheetData sheetId="2">
        <row r="2">
          <cell r="C2" t="str">
            <v>$134,409.76</v>
          </cell>
        </row>
        <row r="3">
          <cell r="C3" t="str">
            <v>$158,827.53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"/>
  <sheetViews>
    <sheetView showGridLines="0" tabSelected="1" workbookViewId="0">
      <selection activeCell="K39" sqref="K39"/>
    </sheetView>
  </sheetViews>
  <sheetFormatPr baseColWidth="10" defaultColWidth="38.6640625" defaultRowHeight="16" x14ac:dyDescent="0.2"/>
  <cols>
    <col min="1" max="1" width="49.83203125" style="1" bestFit="1" customWidth="1"/>
    <col min="2" max="2" width="10.5" style="1" bestFit="1" customWidth="1"/>
    <col min="3" max="3" width="9.5" style="1" bestFit="1" customWidth="1"/>
    <col min="4" max="6" width="17.6640625" style="1" customWidth="1"/>
    <col min="7" max="7" width="12.83203125" style="1" customWidth="1"/>
    <col min="8" max="9" width="17.6640625" style="1" customWidth="1"/>
    <col min="10" max="10" width="12.83203125" style="1" customWidth="1"/>
    <col min="11" max="11" width="17.6640625" style="1" customWidth="1"/>
    <col min="12" max="12" width="12.83203125" style="1" customWidth="1"/>
    <col min="13" max="13" width="153.83203125" style="1" bestFit="1" customWidth="1"/>
    <col min="14" max="14" width="38.6640625" style="1" customWidth="1"/>
    <col min="15" max="16384" width="38.6640625" style="1"/>
  </cols>
  <sheetData>
    <row r="1" spans="1:13" x14ac:dyDescent="0.2">
      <c r="A1" s="44"/>
      <c r="B1" s="53"/>
      <c r="E1" s="29" t="s">
        <v>0</v>
      </c>
      <c r="G1" s="37"/>
      <c r="H1" s="29" t="s">
        <v>1</v>
      </c>
      <c r="J1" s="37"/>
      <c r="K1" s="48"/>
      <c r="L1" s="37"/>
    </row>
    <row r="2" spans="1:13" x14ac:dyDescent="0.2">
      <c r="A2" s="44" t="s">
        <v>2</v>
      </c>
      <c r="B2" s="53"/>
      <c r="C2" s="12">
        <v>1</v>
      </c>
      <c r="E2" s="30">
        <f>F4+F11+F19+F23+F24+F21-F22</f>
        <v>460776.63520000002</v>
      </c>
      <c r="F2" s="31"/>
      <c r="G2" s="38"/>
      <c r="H2" s="30">
        <f>I4+I11+I19+I23+I24+I21-I22</f>
        <v>577288.30969999987</v>
      </c>
      <c r="I2" s="31"/>
      <c r="J2" s="38"/>
      <c r="K2" s="48"/>
      <c r="L2" s="37"/>
    </row>
    <row r="3" spans="1:13" x14ac:dyDescent="0.2">
      <c r="A3" s="45" t="s">
        <v>3</v>
      </c>
      <c r="B3" s="54" t="s">
        <v>180</v>
      </c>
      <c r="C3" s="18" t="s">
        <v>4</v>
      </c>
      <c r="D3" s="18" t="s">
        <v>5</v>
      </c>
      <c r="E3" s="32" t="s">
        <v>5</v>
      </c>
      <c r="F3" s="18" t="s">
        <v>174</v>
      </c>
      <c r="G3" s="39" t="s">
        <v>178</v>
      </c>
      <c r="H3" s="32" t="s">
        <v>5</v>
      </c>
      <c r="I3" s="18" t="s">
        <v>174</v>
      </c>
      <c r="J3" s="39" t="s">
        <v>9</v>
      </c>
      <c r="K3" s="32" t="s">
        <v>8</v>
      </c>
      <c r="L3" s="39" t="s">
        <v>9</v>
      </c>
      <c r="M3" s="13" t="s">
        <v>10</v>
      </c>
    </row>
    <row r="4" spans="1:13" ht="17" x14ac:dyDescent="0.2">
      <c r="A4" s="46" t="s">
        <v>179</v>
      </c>
      <c r="B4" s="55"/>
      <c r="C4" s="56">
        <v>0.3</v>
      </c>
      <c r="D4" s="26">
        <f>$G$43*C4</f>
        <v>311419.48346999998</v>
      </c>
      <c r="E4" s="33">
        <f>$E$2*C4</f>
        <v>138232.99056000001</v>
      </c>
      <c r="F4" s="26" cm="1">
        <f t="array" ref="F4">SUMPRODUCT(SUMIFS([1]PositionsHK!V:V,[1]PositionsHK!F:F,GlobalETF!A:A))</f>
        <v>63945.949500000002</v>
      </c>
      <c r="G4" s="40">
        <f>F4/E4</f>
        <v>0.4625954284932024</v>
      </c>
      <c r="H4" s="33">
        <f>$H$2*C4</f>
        <v>173186.49290999994</v>
      </c>
      <c r="I4" s="26" cm="1">
        <f t="array" ref="I4">SUMPRODUCT(SUMIFS([1]PositionsAL!V:V,[1]PositionsAL!F:F,GlobalETF!A:A))</f>
        <v>157365.62540000002</v>
      </c>
      <c r="J4" s="40">
        <f>I4/H4</f>
        <v>0.90864837526202702</v>
      </c>
      <c r="K4" s="49">
        <f t="shared" ref="K4:K24" si="0">F4+I4</f>
        <v>221311.57490000001</v>
      </c>
      <c r="L4" s="40">
        <f t="shared" ref="L4:L24" si="1">K4/D4</f>
        <v>0.71065423535492966</v>
      </c>
      <c r="M4" s="17" t="s">
        <v>169</v>
      </c>
    </row>
    <row r="5" spans="1:13" x14ac:dyDescent="0.2">
      <c r="A5" s="47" t="s">
        <v>170</v>
      </c>
      <c r="B5" s="55" t="s">
        <v>24</v>
      </c>
      <c r="C5" s="57">
        <v>0.1</v>
      </c>
      <c r="D5" s="27">
        <f>$D$4*C5</f>
        <v>31141.948346999998</v>
      </c>
      <c r="E5" s="34">
        <f>$E$4*C5</f>
        <v>13823.299056000002</v>
      </c>
      <c r="F5" s="27">
        <f>SUMIFS([1]PositionsHK!V:V,[1]PositionsHK!F:F,"82846")</f>
        <v>9192.3216000000011</v>
      </c>
      <c r="G5" s="41">
        <f>F5/E5</f>
        <v>0.66498753754517625</v>
      </c>
      <c r="H5" s="34">
        <f>$H$4*C5</f>
        <v>17318.649290999994</v>
      </c>
      <c r="I5" s="27">
        <f>SUMIFS([1]PositionsAL!V:V,[1]PositionsAL!F:F,"82846")</f>
        <v>9192.3216000000011</v>
      </c>
      <c r="J5" s="41">
        <f>I5/H5</f>
        <v>0.53077589629215405</v>
      </c>
      <c r="K5" s="50">
        <f t="shared" ref="K5:K7" si="2">F5+I5</f>
        <v>18384.643200000002</v>
      </c>
      <c r="L5" s="41">
        <f t="shared" ref="L5:L7" si="3">K5/D5</f>
        <v>0.59034980712024243</v>
      </c>
      <c r="M5" s="14"/>
    </row>
    <row r="6" spans="1:13" x14ac:dyDescent="0.2">
      <c r="A6" s="47" t="s">
        <v>171</v>
      </c>
      <c r="B6" s="55" t="s">
        <v>28</v>
      </c>
      <c r="C6" s="57">
        <v>0.2</v>
      </c>
      <c r="D6" s="27">
        <f t="shared" ref="D6:D10" si="4">$D$4*C6</f>
        <v>62283.896693999995</v>
      </c>
      <c r="E6" s="34">
        <f t="shared" ref="E6:E10" si="5">$E$4*C6</f>
        <v>27646.598112000003</v>
      </c>
      <c r="F6" s="27">
        <f>SUMIFS([1]PositionsHK!V:V,[1]PositionsHK!F:F,"DHL")</f>
        <v>0</v>
      </c>
      <c r="G6" s="41">
        <f t="shared" ref="G6:G7" si="6">F6/E6</f>
        <v>0</v>
      </c>
      <c r="H6" s="34">
        <f t="shared" ref="H6:H10" si="7">$H$4*C6</f>
        <v>34637.298581999989</v>
      </c>
      <c r="I6" s="27">
        <f>SUMIFS([1]PositionsAL!V:V,[1]PositionsAL!F:F,"DHL")</f>
        <v>56120.048000000003</v>
      </c>
      <c r="J6" s="41">
        <f t="shared" ref="J6:J7" si="8">I6/H6</f>
        <v>1.6202201181232991</v>
      </c>
      <c r="K6" s="50">
        <f t="shared" si="2"/>
        <v>56120.048000000003</v>
      </c>
      <c r="L6" s="41">
        <f t="shared" si="3"/>
        <v>0.90103623855965687</v>
      </c>
      <c r="M6" s="14"/>
    </row>
    <row r="7" spans="1:13" x14ac:dyDescent="0.2">
      <c r="A7" s="47" t="s">
        <v>172</v>
      </c>
      <c r="B7" s="55" t="s">
        <v>33</v>
      </c>
      <c r="C7" s="57">
        <v>0.2</v>
      </c>
      <c r="D7" s="27">
        <f t="shared" si="4"/>
        <v>62283.896693999995</v>
      </c>
      <c r="E7" s="34">
        <f t="shared" si="5"/>
        <v>27646.598112000003</v>
      </c>
      <c r="F7" s="27">
        <f>SUMIFS([1]PositionsHK!V:V,[1]PositionsHK!F:F,"ES3")</f>
        <v>19845.627899999999</v>
      </c>
      <c r="G7" s="41">
        <f t="shared" si="6"/>
        <v>0.71783254560299792</v>
      </c>
      <c r="H7" s="34">
        <f t="shared" si="7"/>
        <v>34637.298581999989</v>
      </c>
      <c r="I7" s="27">
        <f>SUMIFS([1]PositionsAL!V:V,[1]PositionsAL!F:F,"ES3")</f>
        <v>39691.255799999999</v>
      </c>
      <c r="J7" s="41">
        <f t="shared" si="8"/>
        <v>1.1459108367251944</v>
      </c>
      <c r="K7" s="50">
        <f t="shared" si="2"/>
        <v>59536.883699999998</v>
      </c>
      <c r="L7" s="41">
        <f t="shared" si="3"/>
        <v>0.95589529332925272</v>
      </c>
      <c r="M7" s="14"/>
    </row>
    <row r="8" spans="1:13" x14ac:dyDescent="0.2">
      <c r="A8" s="47" t="s">
        <v>173</v>
      </c>
      <c r="B8" s="55" t="s">
        <v>37</v>
      </c>
      <c r="C8" s="57">
        <v>0.25</v>
      </c>
      <c r="D8" s="27">
        <f t="shared" si="4"/>
        <v>77854.870867499994</v>
      </c>
      <c r="E8" s="34">
        <f t="shared" si="5"/>
        <v>34558.247640000001</v>
      </c>
      <c r="F8" s="27">
        <f>SUMIFS([1]PositionsHK!V:V,[1]PositionsHK!F:F,"VWRA")</f>
        <v>34908</v>
      </c>
      <c r="G8" s="41">
        <f>F8/E8</f>
        <v>1.0101206624723404</v>
      </c>
      <c r="H8" s="34">
        <f t="shared" si="7"/>
        <v>43296.623227499986</v>
      </c>
      <c r="I8" s="27">
        <f>SUMIFS([1]PositionsAL!V:V,[1]PositionsAL!F:F,"VWRA")</f>
        <v>52362</v>
      </c>
      <c r="J8" s="41">
        <f>I8/H8</f>
        <v>1.2093783786524515</v>
      </c>
      <c r="K8" s="50">
        <f>F8+I8</f>
        <v>87270</v>
      </c>
      <c r="L8" s="41">
        <f>K8/D8</f>
        <v>1.1209317930604941</v>
      </c>
      <c r="M8" s="14"/>
    </row>
    <row r="9" spans="1:13" x14ac:dyDescent="0.2">
      <c r="A9" s="47" t="s">
        <v>181</v>
      </c>
      <c r="B9" s="55" t="s">
        <v>183</v>
      </c>
      <c r="C9" s="57">
        <v>0.15</v>
      </c>
      <c r="D9" s="27">
        <f t="shared" ref="D9" si="9">$D$4*C9</f>
        <v>46712.922520499997</v>
      </c>
      <c r="E9" s="34">
        <f t="shared" ref="E9" si="10">$E$4*C9</f>
        <v>20734.948584000002</v>
      </c>
      <c r="F9" s="27">
        <f>SUMIFS([1]PositionsHK!V:V,[1]PositionsHK!F:F,"WORLD")</f>
        <v>20804.541300000001</v>
      </c>
      <c r="G9" s="41">
        <f>F9/E9</f>
        <v>1.0033563003890784</v>
      </c>
      <c r="H9" s="34">
        <f t="shared" ref="H9" si="11">$H$4*C9</f>
        <v>25977.973936499991</v>
      </c>
      <c r="I9" s="27">
        <f>SUMIFS([1]PositionsAL!V:V,[1]PositionsAL!F:F,"WORLD")</f>
        <v>25427.772700000001</v>
      </c>
      <c r="J9" s="41">
        <f>I9/H9</f>
        <v>0.97882047161010743</v>
      </c>
      <c r="K9" s="50">
        <f>F9+I9</f>
        <v>46232.313999999998</v>
      </c>
      <c r="L9" s="41">
        <f>K9/D9</f>
        <v>0.98971144397379374</v>
      </c>
      <c r="M9" s="14"/>
    </row>
    <row r="10" spans="1:13" x14ac:dyDescent="0.2">
      <c r="A10" s="47" t="s">
        <v>182</v>
      </c>
      <c r="B10" s="55" t="s">
        <v>183</v>
      </c>
      <c r="C10" s="57">
        <v>0.1</v>
      </c>
      <c r="D10" s="27">
        <f t="shared" si="4"/>
        <v>31141.948346999998</v>
      </c>
      <c r="E10" s="34">
        <f t="shared" si="5"/>
        <v>13823.299056000002</v>
      </c>
      <c r="F10" s="27">
        <f>SUMIFS([1]PositionsHK!V:V,[1]PositionsHK!F:F,"XMME")</f>
        <v>12489.9864</v>
      </c>
      <c r="G10" s="41">
        <f>F10/E10</f>
        <v>0.90354598778492912</v>
      </c>
      <c r="H10" s="34">
        <f t="shared" si="7"/>
        <v>17318.649290999994</v>
      </c>
      <c r="I10" s="27">
        <f>SUMIFS([1]PositionsAL!V:V,[1]PositionsAL!F:F,"XMME")</f>
        <v>16653.315200000001</v>
      </c>
      <c r="J10" s="41">
        <f>I10/H10</f>
        <v>0.96158279552749248</v>
      </c>
      <c r="K10" s="50">
        <f>F10+I10</f>
        <v>29143.301599999999</v>
      </c>
      <c r="L10" s="41">
        <f>K10/D10</f>
        <v>0.93582139676265519</v>
      </c>
      <c r="M10" s="14"/>
    </row>
    <row r="11" spans="1:13" x14ac:dyDescent="0.2">
      <c r="A11" s="46" t="s">
        <v>188</v>
      </c>
      <c r="B11" s="55"/>
      <c r="C11" s="56">
        <v>0.3</v>
      </c>
      <c r="D11" s="26">
        <f>$G$43*C11</f>
        <v>311419.48346999998</v>
      </c>
      <c r="E11" s="33">
        <f>$E$2*C11</f>
        <v>138232.99056000001</v>
      </c>
      <c r="F11" s="26">
        <f>F12+F13+F15+F18+F16</f>
        <v>73102.326799999995</v>
      </c>
      <c r="G11" s="40">
        <f>F11/E11</f>
        <v>0.52883415531887767</v>
      </c>
      <c r="H11" s="33">
        <f>$H$2*C11</f>
        <v>173186.49290999994</v>
      </c>
      <c r="I11" s="26">
        <f>I12+I13+I15+I18+I16</f>
        <v>85799.421000000002</v>
      </c>
      <c r="J11" s="40">
        <f>I11/H11</f>
        <v>0.49541635469567191</v>
      </c>
      <c r="K11" s="49">
        <f>F11+I11</f>
        <v>158901.74780000001</v>
      </c>
      <c r="L11" s="41">
        <f>K11/D11</f>
        <v>0.51024985986564808</v>
      </c>
    </row>
    <row r="12" spans="1:13" x14ac:dyDescent="0.2">
      <c r="A12" s="47" t="s">
        <v>184</v>
      </c>
      <c r="B12" s="55" t="s">
        <v>37</v>
      </c>
      <c r="C12" s="57">
        <v>0.25</v>
      </c>
      <c r="D12" s="27">
        <f>$D$11*C12</f>
        <v>77854.870867499994</v>
      </c>
      <c r="E12" s="34">
        <f t="shared" ref="E12:E18" si="12">$E$11*C12</f>
        <v>34558.247640000001</v>
      </c>
      <c r="F12" s="27">
        <f>SUMIFS([1]PositionsHK!V:V,[1]PositionsHK!F:F,"CSNDX")</f>
        <v>21996</v>
      </c>
      <c r="G12" s="41">
        <f>F12/E12</f>
        <v>0.63649060650113443</v>
      </c>
      <c r="H12" s="34">
        <f t="shared" ref="H12:H18" si="13">$H$11*C12</f>
        <v>43296.623227499986</v>
      </c>
      <c r="I12" s="27">
        <f>SUMIFS([1]PositionsAL!V:V,[1]PositionsAL!F:F,"CSNDX")</f>
        <v>29328</v>
      </c>
      <c r="J12" s="41">
        <f>I12/H12</f>
        <v>0.67737384150947433</v>
      </c>
      <c r="K12" s="50">
        <f t="shared" si="0"/>
        <v>51324</v>
      </c>
      <c r="L12" s="41">
        <f t="shared" si="1"/>
        <v>0.6592265766819847</v>
      </c>
      <c r="M12" s="14"/>
    </row>
    <row r="13" spans="1:13" x14ac:dyDescent="0.2">
      <c r="A13" s="47" t="s">
        <v>185</v>
      </c>
      <c r="B13" s="55" t="s">
        <v>183</v>
      </c>
      <c r="C13" s="57">
        <v>0.25</v>
      </c>
      <c r="D13" s="27">
        <f>$D$11*C13</f>
        <v>77854.870867499994</v>
      </c>
      <c r="E13" s="34">
        <f t="shared" si="12"/>
        <v>34558.247640000001</v>
      </c>
      <c r="F13" s="27">
        <f>SUMIFS([1]PositionsHK!V:V,[1]PositionsHK!F:F,"EQCH")</f>
        <v>21460.376799999998</v>
      </c>
      <c r="G13" s="41">
        <f t="shared" ref="G13:G18" si="14">F13/E13</f>
        <v>0.62099146413779205</v>
      </c>
      <c r="H13" s="34">
        <f t="shared" si="13"/>
        <v>43296.623227499986</v>
      </c>
      <c r="I13" s="27">
        <f>SUMIFS([1]PositionsAL!V:V,[1]PositionsAL!F:F,"EQCH")</f>
        <v>26825.471000000001</v>
      </c>
      <c r="J13" s="41">
        <f t="shared" ref="J13:J18" si="15">I13/H13</f>
        <v>0.61957420695482135</v>
      </c>
      <c r="K13" s="50">
        <f t="shared" si="0"/>
        <v>48285.847800000003</v>
      </c>
      <c r="L13" s="41">
        <f t="shared" si="1"/>
        <v>0.62020329957488396</v>
      </c>
      <c r="M13" s="14"/>
    </row>
    <row r="14" spans="1:13" x14ac:dyDescent="0.2">
      <c r="A14" s="47" t="s">
        <v>190</v>
      </c>
      <c r="B14" s="55" t="s">
        <v>183</v>
      </c>
      <c r="C14" s="57">
        <v>0.2</v>
      </c>
      <c r="D14" s="27">
        <f>$D$11*C14</f>
        <v>62283.896693999995</v>
      </c>
      <c r="E14" s="34">
        <f t="shared" ref="E14" si="16">$E$11*C14</f>
        <v>27646.598112000003</v>
      </c>
      <c r="F14" s="27">
        <f>SUMIFS([1]PositionsHK!V:V,[1]PositionsHK!F:F,"EQCH")</f>
        <v>21460.376799999998</v>
      </c>
      <c r="G14" s="41">
        <f t="shared" ref="G14" si="17">F14/E14</f>
        <v>0.77623933017224001</v>
      </c>
      <c r="H14" s="34">
        <f t="shared" ref="H14" si="18">$H$11*C14</f>
        <v>34637.298581999989</v>
      </c>
      <c r="I14" s="27">
        <f>SUMIFS([1]PositionsAL!V:V,[1]PositionsAL!F:F,"EQCH")</f>
        <v>26825.471000000001</v>
      </c>
      <c r="J14" s="41">
        <f t="shared" ref="J14" si="19">I14/H14</f>
        <v>0.77446775869352669</v>
      </c>
      <c r="K14" s="50">
        <f t="shared" ref="K14" si="20">F14+I14</f>
        <v>48285.847800000003</v>
      </c>
      <c r="L14" s="41">
        <f t="shared" ref="L14" si="21">K14/D14</f>
        <v>0.77525412446860498</v>
      </c>
      <c r="M14" s="14"/>
    </row>
    <row r="15" spans="1:13" x14ac:dyDescent="0.2">
      <c r="A15" s="47" t="s">
        <v>168</v>
      </c>
      <c r="B15" s="55" t="s">
        <v>28</v>
      </c>
      <c r="C15" s="57">
        <v>7.4999999999999997E-2</v>
      </c>
      <c r="D15" s="27">
        <f>$D$11*C15</f>
        <v>23356.461260249998</v>
      </c>
      <c r="E15" s="34">
        <f t="shared" si="12"/>
        <v>10367.474292000001</v>
      </c>
      <c r="F15" s="27">
        <f>SUMIFS([1]PositionsHK!V:V,[1]PositionsHK!F:F,"HEAL")</f>
        <v>9372.5</v>
      </c>
      <c r="G15" s="41">
        <f t="shared" si="14"/>
        <v>0.90402924917134675</v>
      </c>
      <c r="H15" s="34">
        <f t="shared" si="13"/>
        <v>12988.986968249996</v>
      </c>
      <c r="I15" s="27">
        <f>SUMIFS([1]PositionsAL!V:V,[1]PositionsAL!F:F,"HEAL")</f>
        <v>9372.5</v>
      </c>
      <c r="J15" s="41">
        <f t="shared" si="15"/>
        <v>0.72157282341647888</v>
      </c>
      <c r="K15" s="50">
        <f t="shared" si="0"/>
        <v>18745</v>
      </c>
      <c r="L15" s="41">
        <f t="shared" si="1"/>
        <v>0.80256164626710069</v>
      </c>
      <c r="M15" s="14"/>
    </row>
    <row r="16" spans="1:13" x14ac:dyDescent="0.2">
      <c r="A16" s="47" t="s">
        <v>16</v>
      </c>
      <c r="B16" s="55" t="s">
        <v>37</v>
      </c>
      <c r="C16" s="57">
        <v>7.4999999999999997E-2</v>
      </c>
      <c r="D16" s="27">
        <f>$D$11*C16</f>
        <v>23356.461260249998</v>
      </c>
      <c r="E16" s="34">
        <f>$E$11*C16</f>
        <v>10367.474292000001</v>
      </c>
      <c r="F16" s="27">
        <f>SUMIFS([1]PositionsHK!V:V,[1]PositionsHK!F:F,"INRA")</f>
        <v>10423.450000000001</v>
      </c>
      <c r="G16" s="41">
        <f>F16/E16</f>
        <v>1.0053991653534355</v>
      </c>
      <c r="H16" s="34">
        <f>$H$11*C16</f>
        <v>12988.986968249996</v>
      </c>
      <c r="I16" s="27">
        <f>SUMIFS([1]PositionsAL!V:V,[1]PositionsAL!F:F,"INRA")</f>
        <v>10423.450000000001</v>
      </c>
      <c r="J16" s="41">
        <f>I16/H16</f>
        <v>0.80248367524571862</v>
      </c>
      <c r="K16" s="50">
        <f>F16+I16</f>
        <v>20846.900000000001</v>
      </c>
      <c r="L16" s="41">
        <f>K16/D16</f>
        <v>0.89255387482345283</v>
      </c>
      <c r="M16" s="14"/>
    </row>
    <row r="17" spans="1:13" x14ac:dyDescent="0.2">
      <c r="A17" s="47" t="s">
        <v>186</v>
      </c>
      <c r="B17" s="55" t="s">
        <v>37</v>
      </c>
      <c r="C17" s="57">
        <v>7.4999999999999997E-2</v>
      </c>
      <c r="D17" s="27">
        <f>$D$11*C17</f>
        <v>23356.461260249998</v>
      </c>
      <c r="E17" s="34">
        <f>$E$11*C17</f>
        <v>10367.474292000001</v>
      </c>
      <c r="F17" s="27">
        <f>SUMIFS([1]PositionsHK!V:V,[1]PositionsHK!F:F,"GRID")</f>
        <v>0</v>
      </c>
      <c r="G17" s="41">
        <f>F17/E17</f>
        <v>0</v>
      </c>
      <c r="H17" s="34">
        <f>$H$11*C17</f>
        <v>12988.986968249996</v>
      </c>
      <c r="I17" s="27">
        <f>SUMIFS([1]PositionsAL!V:V,[1]PositionsAL!F:F,"GRID")</f>
        <v>0</v>
      </c>
      <c r="J17" s="41">
        <f>I17/H17</f>
        <v>0</v>
      </c>
      <c r="K17" s="50">
        <f>F17+I17</f>
        <v>0</v>
      </c>
      <c r="L17" s="41">
        <f>K17/D17</f>
        <v>0</v>
      </c>
      <c r="M17" s="14"/>
    </row>
    <row r="18" spans="1:13" x14ac:dyDescent="0.2">
      <c r="A18" s="47" t="s">
        <v>14</v>
      </c>
      <c r="B18" s="55" t="s">
        <v>37</v>
      </c>
      <c r="C18" s="57">
        <v>7.4999999999999997E-2</v>
      </c>
      <c r="D18" s="27">
        <f>$D$11*C18</f>
        <v>23356.461260249998</v>
      </c>
      <c r="E18" s="34">
        <f t="shared" si="12"/>
        <v>10367.474292000001</v>
      </c>
      <c r="F18" s="27">
        <f>SUMIFS([1]PositionsHK!V:V,[1]PositionsHK!F:F,"LOCK")</f>
        <v>9850</v>
      </c>
      <c r="G18" s="41">
        <f t="shared" si="14"/>
        <v>0.95008675426383193</v>
      </c>
      <c r="H18" s="34">
        <f t="shared" si="13"/>
        <v>12988.986968249996</v>
      </c>
      <c r="I18" s="27">
        <f>SUMIFS([1]PositionsAL!V:V,[1]PositionsAL!F:F,"LOCK")</f>
        <v>9850</v>
      </c>
      <c r="J18" s="41">
        <f t="shared" si="15"/>
        <v>0.75833473573244248</v>
      </c>
      <c r="K18" s="50">
        <f t="shared" si="0"/>
        <v>19700</v>
      </c>
      <c r="L18" s="41">
        <f t="shared" si="1"/>
        <v>0.84344968959519251</v>
      </c>
      <c r="M18" s="14"/>
    </row>
    <row r="19" spans="1:13" x14ac:dyDescent="0.2">
      <c r="A19" s="46" t="s">
        <v>187</v>
      </c>
      <c r="B19" s="55" t="s">
        <v>37</v>
      </c>
      <c r="C19" s="56">
        <v>0.25</v>
      </c>
      <c r="D19" s="26">
        <f>$G$43*C19</f>
        <v>259516.23622499997</v>
      </c>
      <c r="E19" s="33">
        <f>$E$2*C19</f>
        <v>115194.1588</v>
      </c>
      <c r="F19" s="26" cm="1">
        <f t="array" ref="F19">SUMPRODUCT(SUMIFS([1]PositionsHK!V:V,[1]PositionsHK!F:F,IncomeStrategy!A:A))</f>
        <v>89228</v>
      </c>
      <c r="G19" s="40">
        <f>F19/E19</f>
        <v>0.77458788648231347</v>
      </c>
      <c r="H19" s="33">
        <f>$H$2*C19</f>
        <v>144322.07742499997</v>
      </c>
      <c r="I19" s="26" cm="1">
        <f t="array" ref="I19">SUMPRODUCT(SUMIFS([1]PositionsAL!V:V,[1]PositionsAL!F:F,IncomeStrategy!A:A))</f>
        <v>64467</v>
      </c>
      <c r="J19" s="40">
        <f t="shared" ref="J19:J24" si="22">I19/H19</f>
        <v>0.44668841489966526</v>
      </c>
      <c r="K19" s="49">
        <f t="shared" si="0"/>
        <v>153695</v>
      </c>
      <c r="L19" s="40">
        <f t="shared" si="1"/>
        <v>0.59223654841675033</v>
      </c>
    </row>
    <row r="20" spans="1:13" x14ac:dyDescent="0.2">
      <c r="A20" s="46" t="s">
        <v>191</v>
      </c>
      <c r="B20" s="55"/>
      <c r="C20" s="56">
        <v>0.05</v>
      </c>
      <c r="D20" s="26">
        <f>$G$43*C20</f>
        <v>51903.247244999999</v>
      </c>
      <c r="E20" s="33">
        <f>$E$2*C20</f>
        <v>23038.831760000001</v>
      </c>
      <c r="F20" s="26">
        <f>F21+F22</f>
        <v>94379.890700000018</v>
      </c>
      <c r="G20" s="40">
        <f>F20/E20</f>
        <v>4.0965571381037771</v>
      </c>
      <c r="H20" s="33">
        <f>$H$2*C20</f>
        <v>28864.415484999994</v>
      </c>
      <c r="I20" s="26">
        <f>I21+I22</f>
        <v>103378.02509999994</v>
      </c>
      <c r="J20" s="40">
        <f>I20/H20</f>
        <v>3.581504193414986</v>
      </c>
      <c r="K20" s="49">
        <f>F20+I20</f>
        <v>197757.91579999996</v>
      </c>
      <c r="L20" s="40">
        <f t="shared" si="1"/>
        <v>3.8101260768236536</v>
      </c>
    </row>
    <row r="21" spans="1:13" x14ac:dyDescent="0.2">
      <c r="A21" s="47" t="s">
        <v>166</v>
      </c>
      <c r="B21" s="55" t="s">
        <v>37</v>
      </c>
      <c r="C21" s="58">
        <v>0.5</v>
      </c>
      <c r="D21" s="28">
        <f>$D$20*C21</f>
        <v>25951.623622499999</v>
      </c>
      <c r="E21" s="35">
        <f>$E$20*C21</f>
        <v>11519.41588</v>
      </c>
      <c r="F21" s="28" cm="1">
        <f t="array" ref="F21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84578.170700000017</v>
      </c>
      <c r="G21" s="42">
        <f t="shared" ref="G21:G24" si="23">F21/H21</f>
        <v>5.8603764724737184</v>
      </c>
      <c r="H21" s="35">
        <f>$H$20*C21</f>
        <v>14432.207742499997</v>
      </c>
      <c r="I21" s="28" cm="1">
        <f t="array" ref="I21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94446.30509999994</v>
      </c>
      <c r="J21" s="42">
        <f>I21/H21</f>
        <v>6.5441342575657533</v>
      </c>
      <c r="K21" s="51">
        <f t="shared" si="0"/>
        <v>179024.47579999996</v>
      </c>
      <c r="L21" s="42">
        <f t="shared" si="1"/>
        <v>6.8983921161983153</v>
      </c>
      <c r="M21" s="15"/>
    </row>
    <row r="22" spans="1:13" x14ac:dyDescent="0.2">
      <c r="A22" s="47" t="s">
        <v>189</v>
      </c>
      <c r="B22" s="55" t="s">
        <v>37</v>
      </c>
      <c r="C22" s="58">
        <v>0.5</v>
      </c>
      <c r="D22" s="28">
        <f>$D$20*C22</f>
        <v>25951.623622499999</v>
      </c>
      <c r="E22" s="35">
        <f>$E$20*C22</f>
        <v>11519.41588</v>
      </c>
      <c r="F22" s="28">
        <f>SUMIFS([1]PositionsHK!V:V,[1]PositionsHK!D:D,"OPT",[1]PositionsHK!T:T,"Long")+SUMIFS([1]PositionsHK!V:V,[1]PositionsHK!D:D,"FOP",[1]PositionsHK!T:T,"Long")</f>
        <v>9801.7200000000012</v>
      </c>
      <c r="G22" s="42">
        <f t="shared" si="23"/>
        <v>0.67915596663259459</v>
      </c>
      <c r="H22" s="35">
        <f>$H$20*C22</f>
        <v>14432.207742499997</v>
      </c>
      <c r="I22" s="28">
        <f>SUMIFS([1]PositionsAL!V:V,[1]PositionsAL!D:D,"OPT",[1]PositionsAL!T:T,"Long")+SUMIFS([1]PositionsAL!V:V,[1]PositionsAL!D:D,"FOP",[1]PositionsAL!T:T,"Long")</f>
        <v>8931.7200000000012</v>
      </c>
      <c r="J22" s="42">
        <f>I22/H22</f>
        <v>0.6188741292642187</v>
      </c>
      <c r="K22" s="51">
        <f t="shared" si="0"/>
        <v>18733.440000000002</v>
      </c>
      <c r="L22" s="42">
        <f t="shared" si="1"/>
        <v>0.7218600374489923</v>
      </c>
      <c r="M22" s="15"/>
    </row>
    <row r="23" spans="1:13" x14ac:dyDescent="0.2">
      <c r="A23" s="46" t="s">
        <v>167</v>
      </c>
      <c r="B23" s="55" t="s">
        <v>33</v>
      </c>
      <c r="C23" s="56">
        <v>0.05</v>
      </c>
      <c r="D23" s="26">
        <f>$G$43*C23</f>
        <v>51903.247244999999</v>
      </c>
      <c r="E23" s="33">
        <f>$E$2*C23</f>
        <v>23038.831760000001</v>
      </c>
      <c r="F23" s="26">
        <f>SUMIFS([1]PositionsHK!V:V,[1]PositionsHK!F:F,"GSD")</f>
        <v>25314.1482</v>
      </c>
      <c r="G23" s="40">
        <f t="shared" si="23"/>
        <v>0.87700193385710634</v>
      </c>
      <c r="H23" s="33">
        <f>$H$2*C23</f>
        <v>28864.415484999994</v>
      </c>
      <c r="I23" s="26">
        <f>SUMIFS([1]PositionsAL!V:V,[1]PositionsAL!F:F,"GSD")</f>
        <v>25314.1482</v>
      </c>
      <c r="J23" s="40">
        <f t="shared" si="22"/>
        <v>0.87700193385710634</v>
      </c>
      <c r="K23" s="49">
        <f t="shared" si="0"/>
        <v>50628.296399999999</v>
      </c>
      <c r="L23" s="40">
        <f t="shared" si="1"/>
        <v>0.97543601002492542</v>
      </c>
    </row>
    <row r="24" spans="1:13" x14ac:dyDescent="0.2">
      <c r="A24" s="45" t="s">
        <v>165</v>
      </c>
      <c r="B24" s="55" t="s">
        <v>37</v>
      </c>
      <c r="C24" s="56">
        <v>0.05</v>
      </c>
      <c r="D24" s="26">
        <f>$G$43*C24</f>
        <v>51903.247244999999</v>
      </c>
      <c r="E24" s="36">
        <f>$E$2*C24</f>
        <v>23038.831760000001</v>
      </c>
      <c r="F24" s="59" t="str">
        <f>[1]Summary!$C$2</f>
        <v>$134,409.76</v>
      </c>
      <c r="G24" s="43">
        <f t="shared" si="23"/>
        <v>4.6565903983002492</v>
      </c>
      <c r="H24" s="36">
        <f>$H$2*C24</f>
        <v>28864.415484999994</v>
      </c>
      <c r="I24" s="59" t="str">
        <f>[1]Summary!$C$3</f>
        <v>$158,827.53</v>
      </c>
      <c r="J24" s="43">
        <f t="shared" si="22"/>
        <v>5.5025375477476093</v>
      </c>
      <c r="K24" s="52">
        <f t="shared" si="0"/>
        <v>293237.29000000004</v>
      </c>
      <c r="L24" s="43">
        <f t="shared" si="1"/>
        <v>5.6496906371931956</v>
      </c>
    </row>
    <row r="25" spans="1:13" x14ac:dyDescent="0.2">
      <c r="A25" s="9"/>
      <c r="B25" s="9"/>
      <c r="C25" s="10">
        <f>C4+C11+C19+C20+C23+C24</f>
        <v>1</v>
      </c>
      <c r="D25" s="9"/>
      <c r="E25" s="9"/>
      <c r="F25" s="11"/>
      <c r="G25" s="11"/>
      <c r="H25" s="11"/>
      <c r="I25" s="11"/>
      <c r="J25" s="9"/>
      <c r="K25" s="9"/>
      <c r="L25" s="9"/>
    </row>
    <row r="26" spans="1:13" x14ac:dyDescent="0.2">
      <c r="F26" s="6"/>
      <c r="I26" s="6"/>
    </row>
    <row r="27" spans="1:13" x14ac:dyDescent="0.2">
      <c r="A27" s="16"/>
      <c r="B27" s="16"/>
    </row>
    <row r="42" spans="7:8" x14ac:dyDescent="0.2">
      <c r="G42" s="20" t="s">
        <v>175</v>
      </c>
      <c r="H42" s="19"/>
    </row>
    <row r="43" spans="7:8" x14ac:dyDescent="0.2">
      <c r="G43" s="24">
        <f>E2+H2</f>
        <v>1038064.9448999999</v>
      </c>
      <c r="H43" s="19"/>
    </row>
    <row r="44" spans="7:8" x14ac:dyDescent="0.2">
      <c r="G44" s="20" t="s">
        <v>176</v>
      </c>
      <c r="H44" s="25">
        <f>G45/G43</f>
        <v>0.71751546814034017</v>
      </c>
    </row>
    <row r="45" spans="7:8" x14ac:dyDescent="0.2">
      <c r="G45" s="24">
        <f>G43-G47</f>
        <v>744827.65489999985</v>
      </c>
      <c r="H45" s="19"/>
    </row>
    <row r="46" spans="7:8" x14ac:dyDescent="0.2">
      <c r="G46" s="20" t="s">
        <v>177</v>
      </c>
      <c r="H46" s="25">
        <f>G47/G43</f>
        <v>0.28248453185965983</v>
      </c>
    </row>
    <row r="47" spans="7:8" x14ac:dyDescent="0.2">
      <c r="G47" s="24">
        <f>F24+I24</f>
        <v>293237.29000000004</v>
      </c>
      <c r="H47" s="19"/>
    </row>
    <row r="52" spans="1:6" x14ac:dyDescent="0.2">
      <c r="A52" s="19"/>
      <c r="B52" s="19" t="s">
        <v>5</v>
      </c>
      <c r="C52" s="19" t="s">
        <v>174</v>
      </c>
      <c r="E52" s="23"/>
      <c r="F52" s="23"/>
    </row>
    <row r="53" spans="1:6" x14ac:dyDescent="0.2">
      <c r="A53" s="20" t="str">
        <f>A4</f>
        <v>Global Traids (The strategic core)</v>
      </c>
      <c r="B53" s="21">
        <f>D4</f>
        <v>311419.48346999998</v>
      </c>
      <c r="C53" s="22">
        <f>K4</f>
        <v>221311.57490000001</v>
      </c>
      <c r="E53" s="23"/>
      <c r="F53" s="23"/>
    </row>
    <row r="54" spans="1:6" x14ac:dyDescent="0.2">
      <c r="A54" s="20" t="str">
        <f>A11</f>
        <v>Four Horsemen (The growth engine)</v>
      </c>
      <c r="B54" s="21">
        <f>D11</f>
        <v>311419.48346999998</v>
      </c>
      <c r="C54" s="22">
        <f>K11</f>
        <v>158901.74780000001</v>
      </c>
      <c r="E54" s="23"/>
      <c r="F54" s="23"/>
    </row>
    <row r="55" spans="1:6" x14ac:dyDescent="0.2">
      <c r="A55" s="20" t="str">
        <f>A19</f>
        <v>Cash Cow (The Income Strategy)</v>
      </c>
      <c r="B55" s="21">
        <f>D19</f>
        <v>259516.23622499997</v>
      </c>
      <c r="C55" s="22">
        <f>K19</f>
        <v>153695</v>
      </c>
      <c r="E55" s="23"/>
      <c r="F55" s="23"/>
    </row>
    <row r="56" spans="1:6" x14ac:dyDescent="0.2">
      <c r="A56" s="20" t="str">
        <f>A21</f>
        <v>The Sniper (theme stocks)</v>
      </c>
      <c r="B56" s="21">
        <f>D21</f>
        <v>25951.623622499999</v>
      </c>
      <c r="C56" s="22">
        <f>K21</f>
        <v>179024.47579999996</v>
      </c>
      <c r="E56" s="23"/>
      <c r="F56" s="23"/>
    </row>
    <row r="57" spans="1:6" x14ac:dyDescent="0.2">
      <c r="A57" s="20" t="str">
        <f>A22</f>
        <v>The Hedge (bear spreads 4xQQQ, 4xSPY)</v>
      </c>
      <c r="B57" s="21">
        <f>D22</f>
        <v>25951.623622499999</v>
      </c>
      <c r="C57" s="22">
        <f>K22</f>
        <v>18733.440000000002</v>
      </c>
      <c r="E57" s="23"/>
      <c r="F57" s="23"/>
    </row>
    <row r="58" spans="1:6" x14ac:dyDescent="0.2">
      <c r="A58" s="20" t="str">
        <f>A23</f>
        <v>Reserve: Gold</v>
      </c>
      <c r="B58" s="21">
        <f>D23</f>
        <v>51903.247244999999</v>
      </c>
      <c r="C58" s="22">
        <f>K23</f>
        <v>50628.296399999999</v>
      </c>
      <c r="E58" s="23"/>
      <c r="F58" s="23"/>
    </row>
    <row r="59" spans="1:6" x14ac:dyDescent="0.2">
      <c r="A59" s="20" t="str">
        <f>A24</f>
        <v>Reserve: Cash</v>
      </c>
      <c r="B59" s="21">
        <f>D24</f>
        <v>51903.247244999999</v>
      </c>
      <c r="C59" s="22">
        <f>K24</f>
        <v>293237.29000000004</v>
      </c>
      <c r="E59" s="23"/>
      <c r="F59" s="23"/>
    </row>
  </sheetData>
  <conditionalFormatting sqref="G4:G24">
    <cfRule type="expression" dxfId="39" priority="149">
      <formula>AND(G4&gt;=120%)</formula>
    </cfRule>
    <cfRule type="expression" dxfId="38" priority="150">
      <formula>AND(G4&lt;50%)</formula>
    </cfRule>
    <cfRule type="expression" dxfId="37" priority="151">
      <formula>AND(G4&gt;=50%, G4&lt;80%)</formula>
    </cfRule>
    <cfRule type="expression" dxfId="36" priority="152">
      <formula>AND(G4&gt;=80%, G4&lt;=120%)</formula>
    </cfRule>
  </conditionalFormatting>
  <conditionalFormatting sqref="J4:J10">
    <cfRule type="expression" dxfId="35" priority="85">
      <formula>AND(J4&gt;=120%)</formula>
    </cfRule>
    <cfRule type="expression" dxfId="34" priority="86">
      <formula>AND(J4&lt;50%)</formula>
    </cfRule>
    <cfRule type="expression" dxfId="33" priority="87">
      <formula>AND(J4&gt;=50%, J4&lt;80%)</formula>
    </cfRule>
    <cfRule type="expression" dxfId="32" priority="88">
      <formula>AND(J4&gt;=80%, J4&lt;=120%)</formula>
    </cfRule>
  </conditionalFormatting>
  <conditionalFormatting sqref="J8:J10">
    <cfRule type="expression" dxfId="31" priority="81">
      <formula>AND(J8&gt;=120%)</formula>
    </cfRule>
    <cfRule type="expression" dxfId="30" priority="82">
      <formula>AND(J8&lt;50%)</formula>
    </cfRule>
    <cfRule type="expression" dxfId="29" priority="83">
      <formula>AND(J8&gt;=50%, J8&lt;80%)</formula>
    </cfRule>
    <cfRule type="expression" dxfId="28" priority="84">
      <formula>AND(J8&gt;=80%, J8&lt;=120%)</formula>
    </cfRule>
  </conditionalFormatting>
  <conditionalFormatting sqref="J11:J18">
    <cfRule type="expression" dxfId="27" priority="125">
      <formula>AND(J11&gt;=120%)</formula>
    </cfRule>
    <cfRule type="expression" dxfId="26" priority="126">
      <formula>AND(J11&lt;50%)</formula>
    </cfRule>
    <cfRule type="expression" dxfId="25" priority="127">
      <formula>AND(J11&gt;=50%, J11&lt;80%)</formula>
    </cfRule>
    <cfRule type="expression" dxfId="24" priority="128">
      <formula>AND(J11&gt;=80%, J11&lt;=120%)</formula>
    </cfRule>
  </conditionalFormatting>
  <conditionalFormatting sqref="J16:J17">
    <cfRule type="expression" dxfId="23" priority="121">
      <formula>AND(J16&gt;=120%)</formula>
    </cfRule>
    <cfRule type="expression" dxfId="22" priority="122">
      <formula>AND(J16&lt;50%)</formula>
    </cfRule>
    <cfRule type="expression" dxfId="21" priority="123">
      <formula>AND(J16&gt;=50%, J16&lt;80%)</formula>
    </cfRule>
    <cfRule type="expression" dxfId="20" priority="124">
      <formula>AND(J16&gt;=80%, J16&lt;=120%)</formula>
    </cfRule>
  </conditionalFormatting>
  <conditionalFormatting sqref="J19:J24">
    <cfRule type="expression" dxfId="19" priority="97">
      <formula>AND(J19&gt;=120%)</formula>
    </cfRule>
    <cfRule type="expression" dxfId="18" priority="98">
      <formula>AND(J19&lt;50%)</formula>
    </cfRule>
    <cfRule type="expression" dxfId="17" priority="99">
      <formula>AND(J19&gt;=50%, J19&lt;80%)</formula>
    </cfRule>
    <cfRule type="expression" dxfId="16" priority="100">
      <formula>AND(J19&gt;=80%, J19&lt;=120%)</formula>
    </cfRule>
  </conditionalFormatting>
  <conditionalFormatting sqref="L4:L9">
    <cfRule type="expression" dxfId="15" priority="61">
      <formula>AND(L4&gt;=120%)</formula>
    </cfRule>
    <cfRule type="expression" dxfId="14" priority="62">
      <formula>AND(L4&lt;50%)</formula>
    </cfRule>
    <cfRule type="expression" dxfId="13" priority="63">
      <formula>AND(L4&gt;=50%, L4&lt;80%)</formula>
    </cfRule>
    <cfRule type="expression" dxfId="12" priority="64">
      <formula>AND(L4&gt;=80%, L4&lt;=120%)</formula>
    </cfRule>
  </conditionalFormatting>
  <conditionalFormatting sqref="L8:L11">
    <cfRule type="expression" dxfId="11" priority="53">
      <formula>AND(L8&gt;=120%)</formula>
    </cfRule>
    <cfRule type="expression" dxfId="10" priority="54">
      <formula>AND(L8&lt;50%)</formula>
    </cfRule>
    <cfRule type="expression" dxfId="9" priority="55">
      <formula>AND(L8&gt;=50%, L8&lt;80%)</formula>
    </cfRule>
    <cfRule type="expression" dxfId="8" priority="56">
      <formula>AND(L8&gt;=80%, L8&lt;=120%)</formula>
    </cfRule>
  </conditionalFormatting>
  <conditionalFormatting sqref="L10:L17">
    <cfRule type="expression" dxfId="7" priority="33">
      <formula>AND(L10&gt;=120%)</formula>
    </cfRule>
    <cfRule type="expression" dxfId="6" priority="34">
      <formula>AND(L10&lt;50%)</formula>
    </cfRule>
    <cfRule type="expression" dxfId="5" priority="35">
      <formula>AND(L10&gt;=50%, L10&lt;80%)</formula>
    </cfRule>
    <cfRule type="expression" dxfId="4" priority="36">
      <formula>AND(L10&gt;=80%, L10&lt;=120%)</formula>
    </cfRule>
  </conditionalFormatting>
  <conditionalFormatting sqref="L16:L24">
    <cfRule type="expression" dxfId="3" priority="1">
      <formula>AND(L16&gt;=120%)</formula>
    </cfRule>
    <cfRule type="expression" dxfId="2" priority="2">
      <formula>AND(L16&lt;50%)</formula>
    </cfRule>
    <cfRule type="expression" dxfId="1" priority="3">
      <formula>AND(L16&gt;=50%, L16&lt;80%)</formula>
    </cfRule>
    <cfRule type="expression" dxfId="0" priority="4">
      <formula>AND(L16&gt;=80%, L16&lt;=120%)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C15" sqref="C15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x14ac:dyDescent="0.2">
      <c r="A2" s="5">
        <v>82846</v>
      </c>
      <c r="B2" s="3">
        <v>0.15</v>
      </c>
      <c r="C2" s="1" t="s">
        <v>24</v>
      </c>
      <c r="D2" s="1" t="s">
        <v>25</v>
      </c>
      <c r="E2" s="4">
        <v>3.8E-3</v>
      </c>
      <c r="F2" s="1" t="s">
        <v>26</v>
      </c>
    </row>
    <row r="3" spans="1:6" x14ac:dyDescent="0.2">
      <c r="A3" s="1" t="s">
        <v>27</v>
      </c>
      <c r="B3" s="3">
        <v>0.1</v>
      </c>
      <c r="C3" s="1" t="s">
        <v>28</v>
      </c>
      <c r="D3" s="1" t="s">
        <v>29</v>
      </c>
      <c r="E3" s="1" t="s">
        <v>30</v>
      </c>
      <c r="F3" s="1" t="s">
        <v>31</v>
      </c>
    </row>
    <row r="4" spans="1:6" x14ac:dyDescent="0.2">
      <c r="A4" s="1" t="s">
        <v>32</v>
      </c>
      <c r="B4" s="3">
        <v>0.15</v>
      </c>
      <c r="C4" s="1" t="s">
        <v>33</v>
      </c>
      <c r="D4" s="1" t="s">
        <v>34</v>
      </c>
      <c r="E4" s="4">
        <v>2.8E-3</v>
      </c>
      <c r="F4" s="1" t="s">
        <v>35</v>
      </c>
    </row>
    <row r="5" spans="1:6" x14ac:dyDescent="0.2">
      <c r="A5" s="1" t="s">
        <v>36</v>
      </c>
      <c r="B5" s="3">
        <v>0.1</v>
      </c>
      <c r="C5" s="1" t="s">
        <v>37</v>
      </c>
      <c r="D5" s="1" t="s">
        <v>38</v>
      </c>
      <c r="E5" s="4">
        <v>1.9E-3</v>
      </c>
      <c r="F5" s="1" t="s">
        <v>39</v>
      </c>
    </row>
    <row r="6" spans="1:6" x14ac:dyDescent="0.2">
      <c r="A6" s="1" t="s">
        <v>40</v>
      </c>
      <c r="B6" s="3">
        <v>0.5</v>
      </c>
      <c r="C6" s="1" t="s">
        <v>28</v>
      </c>
      <c r="D6" s="1" t="s">
        <v>38</v>
      </c>
      <c r="E6" s="4">
        <v>1.9E-3</v>
      </c>
      <c r="F6" s="1" t="s">
        <v>41</v>
      </c>
    </row>
    <row r="7" spans="1:6" x14ac:dyDescent="0.2">
      <c r="E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18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0</v>
      </c>
      <c r="K1" s="1" t="s">
        <v>1</v>
      </c>
      <c r="L1" s="1" t="s">
        <v>6</v>
      </c>
      <c r="M1" s="1" t="s">
        <v>7</v>
      </c>
    </row>
    <row r="2" spans="1:13" x14ac:dyDescent="0.2">
      <c r="A2" s="1" t="s">
        <v>50</v>
      </c>
      <c r="B2" s="1" t="s">
        <v>51</v>
      </c>
      <c r="C2" s="1" t="s">
        <v>52</v>
      </c>
      <c r="D2" s="1" t="s">
        <v>53</v>
      </c>
      <c r="E2" s="4">
        <v>3.3E-3</v>
      </c>
      <c r="F2" s="4">
        <v>0.20499999999999999</v>
      </c>
      <c r="G2" s="1" t="s">
        <v>54</v>
      </c>
      <c r="H2" s="1" t="s">
        <v>11</v>
      </c>
      <c r="I2" s="3">
        <v>0.4</v>
      </c>
      <c r="J2" s="6">
        <f>Dashboard!$E$11*GrowthEngine!I2</f>
        <v>55293.196224000007</v>
      </c>
      <c r="K2" s="6">
        <f>Dashboard!$H$11*GrowthEngine!I2</f>
        <v>69274.597163999977</v>
      </c>
    </row>
    <row r="3" spans="1:13" x14ac:dyDescent="0.2">
      <c r="A3" s="1" t="s">
        <v>55</v>
      </c>
      <c r="B3" s="1" t="s">
        <v>51</v>
      </c>
      <c r="C3" s="1" t="s">
        <v>52</v>
      </c>
      <c r="D3" s="1" t="s">
        <v>56</v>
      </c>
      <c r="E3" s="4">
        <v>4.4999999999999997E-3</v>
      </c>
      <c r="F3" s="4">
        <v>0.35499999999999998</v>
      </c>
      <c r="G3" s="1" t="s">
        <v>57</v>
      </c>
      <c r="H3" s="1" t="s">
        <v>12</v>
      </c>
      <c r="I3" s="3">
        <v>0.2</v>
      </c>
      <c r="J3" s="6">
        <f>Dashboard!$E$11*GrowthEngine!I3</f>
        <v>27646.598112000003</v>
      </c>
      <c r="K3" s="6">
        <f>Dashboard!$H$11*GrowthEngine!I3</f>
        <v>34637.298581999989</v>
      </c>
    </row>
    <row r="4" spans="1:13" x14ac:dyDescent="0.2">
      <c r="A4" s="1" t="s">
        <v>58</v>
      </c>
      <c r="B4" s="1" t="s">
        <v>59</v>
      </c>
      <c r="C4" s="1" t="s">
        <v>52</v>
      </c>
      <c r="D4" s="1" t="s">
        <v>60</v>
      </c>
      <c r="E4" s="4">
        <v>4.0000000000000001E-3</v>
      </c>
      <c r="F4" s="4">
        <v>0.185</v>
      </c>
      <c r="G4" s="1" t="s">
        <v>61</v>
      </c>
      <c r="H4" s="1" t="s">
        <v>13</v>
      </c>
      <c r="I4" s="3">
        <v>0.15</v>
      </c>
      <c r="J4" s="6">
        <f>Dashboard!$E$11*GrowthEngine!I4</f>
        <v>20734.948584000002</v>
      </c>
      <c r="K4" s="6">
        <f>Dashboard!$H$11*GrowthEngine!I4</f>
        <v>25977.973936499991</v>
      </c>
    </row>
    <row r="5" spans="1:13" x14ac:dyDescent="0.2">
      <c r="A5" s="1" t="s">
        <v>62</v>
      </c>
      <c r="B5" s="1" t="s">
        <v>63</v>
      </c>
      <c r="C5" s="1" t="s">
        <v>52</v>
      </c>
      <c r="D5" s="1" t="s">
        <v>64</v>
      </c>
      <c r="E5" s="4">
        <v>6.4999999999999997E-3</v>
      </c>
      <c r="F5" s="4">
        <v>0.46</v>
      </c>
      <c r="G5" s="1" t="s">
        <v>65</v>
      </c>
      <c r="H5" s="1" t="s">
        <v>17</v>
      </c>
      <c r="I5" s="3">
        <v>0.1</v>
      </c>
      <c r="J5" s="6">
        <f>Dashboard!$E$11*GrowthEngine!I5</f>
        <v>13823.299056000002</v>
      </c>
      <c r="K5" s="6">
        <f>Dashboard!$H$11*GrowthEngine!I5</f>
        <v>17318.649290999994</v>
      </c>
    </row>
    <row r="6" spans="1:13" x14ac:dyDescent="0.2">
      <c r="A6" s="1" t="s">
        <v>66</v>
      </c>
      <c r="B6" s="1" t="s">
        <v>51</v>
      </c>
      <c r="C6" s="1" t="s">
        <v>52</v>
      </c>
      <c r="D6" s="1" t="s">
        <v>67</v>
      </c>
      <c r="E6" s="4">
        <v>4.0000000000000001E-3</v>
      </c>
      <c r="F6" s="4">
        <v>0.115</v>
      </c>
      <c r="G6" s="1" t="s">
        <v>68</v>
      </c>
      <c r="H6" s="1" t="s">
        <v>15</v>
      </c>
      <c r="I6" s="3">
        <v>0.15</v>
      </c>
      <c r="J6" s="6">
        <f>Dashboard!$E$11*GrowthEngine!I6</f>
        <v>20734.948584000002</v>
      </c>
      <c r="K6" s="6">
        <f>Dashboard!$H$11*GrowthEngine!I6</f>
        <v>25977.973936499991</v>
      </c>
    </row>
    <row r="7" spans="1:13" x14ac:dyDescent="0.2">
      <c r="I7" s="3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A6" sqref="A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7" t="s">
        <v>18</v>
      </c>
      <c r="B1" s="7" t="s">
        <v>3</v>
      </c>
      <c r="C1" s="7" t="s">
        <v>69</v>
      </c>
      <c r="D1" s="7" t="s">
        <v>70</v>
      </c>
      <c r="E1" s="7" t="s">
        <v>71</v>
      </c>
    </row>
    <row r="2" spans="1:5" x14ac:dyDescent="0.2">
      <c r="A2" s="7" t="s">
        <v>72</v>
      </c>
      <c r="B2" s="7" t="s">
        <v>73</v>
      </c>
      <c r="C2" s="7" t="s">
        <v>74</v>
      </c>
      <c r="D2" s="7" t="s">
        <v>75</v>
      </c>
      <c r="E2" s="7" t="s">
        <v>76</v>
      </c>
    </row>
    <row r="3" spans="1:5" x14ac:dyDescent="0.2">
      <c r="A3" s="7" t="s">
        <v>77</v>
      </c>
      <c r="B3" s="7" t="s">
        <v>78</v>
      </c>
      <c r="C3" s="7" t="s">
        <v>79</v>
      </c>
      <c r="D3" s="7" t="s">
        <v>80</v>
      </c>
      <c r="E3" s="7" t="s">
        <v>81</v>
      </c>
    </row>
    <row r="4" spans="1:5" x14ac:dyDescent="0.2">
      <c r="A4" s="7" t="s">
        <v>82</v>
      </c>
      <c r="B4" s="7" t="s">
        <v>78</v>
      </c>
      <c r="C4" s="7" t="s">
        <v>79</v>
      </c>
      <c r="D4" s="7" t="s">
        <v>83</v>
      </c>
      <c r="E4" s="7" t="s">
        <v>84</v>
      </c>
    </row>
    <row r="5" spans="1:5" x14ac:dyDescent="0.2">
      <c r="A5" s="7" t="s">
        <v>86</v>
      </c>
      <c r="B5" s="7" t="s">
        <v>78</v>
      </c>
      <c r="C5" s="7" t="s">
        <v>85</v>
      </c>
      <c r="D5" s="7" t="s">
        <v>87</v>
      </c>
      <c r="E5" s="7" t="s">
        <v>88</v>
      </c>
    </row>
    <row r="6" spans="1:5" x14ac:dyDescent="0.2">
      <c r="A6" s="7" t="s">
        <v>89</v>
      </c>
      <c r="B6" s="7" t="s">
        <v>78</v>
      </c>
      <c r="C6" s="7" t="s">
        <v>90</v>
      </c>
      <c r="D6" s="7" t="s">
        <v>91</v>
      </c>
      <c r="E6" s="7" t="s">
        <v>92</v>
      </c>
    </row>
    <row r="7" spans="1:5" x14ac:dyDescent="0.2">
      <c r="A7" s="7" t="s">
        <v>93</v>
      </c>
      <c r="B7" s="7" t="s">
        <v>78</v>
      </c>
      <c r="C7" s="7" t="s">
        <v>79</v>
      </c>
      <c r="D7" s="7" t="s">
        <v>94</v>
      </c>
      <c r="E7" s="7" t="s">
        <v>95</v>
      </c>
    </row>
    <row r="8" spans="1:5" x14ac:dyDescent="0.2">
      <c r="A8" s="7" t="s">
        <v>96</v>
      </c>
      <c r="B8" s="7" t="s">
        <v>97</v>
      </c>
      <c r="C8" s="8" t="s">
        <v>98</v>
      </c>
      <c r="D8" s="8" t="s">
        <v>99</v>
      </c>
      <c r="E8" s="8" t="s">
        <v>100</v>
      </c>
    </row>
    <row r="9" spans="1:5" x14ac:dyDescent="0.2">
      <c r="A9" s="7" t="s">
        <v>101</v>
      </c>
      <c r="B9" s="7" t="s">
        <v>97</v>
      </c>
      <c r="C9" s="8" t="s">
        <v>102</v>
      </c>
      <c r="D9" s="8" t="s">
        <v>103</v>
      </c>
      <c r="E9" s="8" t="s">
        <v>104</v>
      </c>
    </row>
    <row r="10" spans="1:5" x14ac:dyDescent="0.2">
      <c r="A10" s="7" t="s">
        <v>105</v>
      </c>
      <c r="B10" s="7" t="s">
        <v>97</v>
      </c>
      <c r="C10" s="8" t="s">
        <v>85</v>
      </c>
      <c r="D10" s="8" t="s">
        <v>106</v>
      </c>
      <c r="E10" s="8" t="s">
        <v>107</v>
      </c>
    </row>
    <row r="11" spans="1:5" x14ac:dyDescent="0.2">
      <c r="A11" s="7" t="s">
        <v>108</v>
      </c>
      <c r="B11" s="7" t="s">
        <v>109</v>
      </c>
      <c r="C11" s="7" t="s">
        <v>85</v>
      </c>
      <c r="D11" s="7" t="s">
        <v>110</v>
      </c>
      <c r="E11" s="7" t="s">
        <v>111</v>
      </c>
    </row>
    <row r="12" spans="1:5" x14ac:dyDescent="0.2">
      <c r="A12" s="7" t="s">
        <v>112</v>
      </c>
      <c r="B12" s="7" t="s">
        <v>113</v>
      </c>
      <c r="C12" s="7" t="s">
        <v>85</v>
      </c>
      <c r="D12" s="7" t="s">
        <v>114</v>
      </c>
      <c r="E12" s="7" t="s">
        <v>115</v>
      </c>
    </row>
    <row r="13" spans="1:5" x14ac:dyDescent="0.2">
      <c r="A13" s="7" t="s">
        <v>116</v>
      </c>
      <c r="B13" s="7" t="s">
        <v>113</v>
      </c>
      <c r="C13" s="7" t="s">
        <v>79</v>
      </c>
      <c r="D13" s="7" t="s">
        <v>117</v>
      </c>
      <c r="E13" s="7" t="s">
        <v>118</v>
      </c>
    </row>
    <row r="14" spans="1:5" x14ac:dyDescent="0.2">
      <c r="A14" s="7" t="s">
        <v>119</v>
      </c>
      <c r="B14" s="7" t="s">
        <v>120</v>
      </c>
      <c r="C14" s="7" t="s">
        <v>79</v>
      </c>
      <c r="D14" s="7" t="s">
        <v>121</v>
      </c>
      <c r="E14" s="7" t="s">
        <v>122</v>
      </c>
    </row>
    <row r="15" spans="1:5" x14ac:dyDescent="0.2">
      <c r="A15" s="7" t="s">
        <v>123</v>
      </c>
      <c r="B15" s="7" t="s">
        <v>120</v>
      </c>
      <c r="C15" s="7" t="s">
        <v>85</v>
      </c>
      <c r="D15" s="7" t="s">
        <v>124</v>
      </c>
      <c r="E15" s="7" t="s">
        <v>125</v>
      </c>
    </row>
    <row r="16" spans="1:5" x14ac:dyDescent="0.2">
      <c r="A16" s="7" t="s">
        <v>126</v>
      </c>
      <c r="B16" s="7" t="s">
        <v>127</v>
      </c>
      <c r="C16" s="7" t="s">
        <v>128</v>
      </c>
      <c r="D16" s="7" t="s">
        <v>129</v>
      </c>
      <c r="E16" s="7" t="s">
        <v>130</v>
      </c>
    </row>
    <row r="17" spans="1:5" x14ac:dyDescent="0.2">
      <c r="A17" s="7" t="s">
        <v>131</v>
      </c>
      <c r="B17" s="7" t="s">
        <v>127</v>
      </c>
      <c r="C17" s="7" t="s">
        <v>79</v>
      </c>
      <c r="D17" s="7" t="s">
        <v>132</v>
      </c>
      <c r="E17" s="7" t="s">
        <v>133</v>
      </c>
    </row>
    <row r="18" spans="1:5" x14ac:dyDescent="0.2">
      <c r="A18" s="7" t="s">
        <v>134</v>
      </c>
      <c r="B18" s="7" t="s">
        <v>127</v>
      </c>
      <c r="C18" s="7" t="s">
        <v>135</v>
      </c>
      <c r="D18" s="7" t="s">
        <v>136</v>
      </c>
      <c r="E18" s="7" t="s">
        <v>137</v>
      </c>
    </row>
    <row r="19" spans="1:5" x14ac:dyDescent="0.2">
      <c r="A19" s="7" t="s">
        <v>138</v>
      </c>
      <c r="B19" s="7" t="s">
        <v>127</v>
      </c>
      <c r="C19" s="7" t="s">
        <v>139</v>
      </c>
      <c r="D19" s="7" t="s">
        <v>140</v>
      </c>
      <c r="E19" s="7" t="s">
        <v>141</v>
      </c>
    </row>
    <row r="20" spans="1:5" x14ac:dyDescent="0.2">
      <c r="A20" s="7" t="s">
        <v>142</v>
      </c>
      <c r="B20" s="7" t="s">
        <v>127</v>
      </c>
      <c r="C20" s="7" t="s">
        <v>85</v>
      </c>
      <c r="D20" s="7" t="s">
        <v>143</v>
      </c>
      <c r="E20" s="7" t="s">
        <v>144</v>
      </c>
    </row>
    <row r="21" spans="1:5" x14ac:dyDescent="0.2">
      <c r="A21" s="7" t="s">
        <v>145</v>
      </c>
      <c r="B21" s="7" t="s">
        <v>127</v>
      </c>
      <c r="C21" s="7" t="s">
        <v>146</v>
      </c>
      <c r="D21" s="7" t="s">
        <v>147</v>
      </c>
      <c r="E21" s="7" t="s">
        <v>148</v>
      </c>
    </row>
    <row r="22" spans="1:5" x14ac:dyDescent="0.2">
      <c r="A22" s="7" t="s">
        <v>149</v>
      </c>
      <c r="B22" s="7" t="s">
        <v>127</v>
      </c>
      <c r="C22" s="7" t="s">
        <v>150</v>
      </c>
      <c r="D22" s="7" t="s">
        <v>151</v>
      </c>
      <c r="E22" s="7" t="s">
        <v>152</v>
      </c>
    </row>
    <row r="23" spans="1:5" x14ac:dyDescent="0.2">
      <c r="A23" s="7" t="s">
        <v>153</v>
      </c>
      <c r="B23" s="7" t="s">
        <v>154</v>
      </c>
      <c r="C23" s="7" t="s">
        <v>146</v>
      </c>
      <c r="D23" s="7" t="s">
        <v>155</v>
      </c>
      <c r="E23" s="7" t="s">
        <v>156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7" t="s">
        <v>18</v>
      </c>
      <c r="B1" s="7" t="s">
        <v>3</v>
      </c>
      <c r="C1" s="7" t="s">
        <v>69</v>
      </c>
      <c r="D1" s="7" t="s">
        <v>70</v>
      </c>
      <c r="E1" s="7" t="s">
        <v>71</v>
      </c>
    </row>
    <row r="2" spans="1:5" s="1" customFormat="1" ht="16" customHeight="1" x14ac:dyDescent="0.2">
      <c r="A2" s="7" t="s">
        <v>157</v>
      </c>
      <c r="B2" s="7" t="s">
        <v>158</v>
      </c>
      <c r="C2" s="7" t="s">
        <v>159</v>
      </c>
      <c r="D2" s="7" t="s">
        <v>160</v>
      </c>
      <c r="E2" s="7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2" t="s">
        <v>162</v>
      </c>
    </row>
    <row r="2" spans="1:1" ht="26" customHeight="1" x14ac:dyDescent="0.35">
      <c r="A2" s="2" t="s">
        <v>163</v>
      </c>
    </row>
    <row r="3" spans="1:1" ht="26" customHeight="1" x14ac:dyDescent="0.35">
      <c r="A3" s="2" t="s">
        <v>164</v>
      </c>
    </row>
    <row r="4" spans="1:1" ht="26" customHeight="1" x14ac:dyDescent="0.2"/>
    <row r="5" spans="1:1" ht="26" customHeight="1" x14ac:dyDescent="0.35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2026-01-31T02:16:13Z</dcterms:modified>
</cp:coreProperties>
</file>