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hongkiatkoh/Developer/timeless-workspace/projects/"/>
    </mc:Choice>
  </mc:AlternateContent>
  <xr:revisionPtr revIDLastSave="0" documentId="13_ncr:1_{8F508FE0-DF8D-2842-9F94-DB9BB154C2E1}" xr6:coauthVersionLast="47" xr6:coauthVersionMax="47" xr10:uidLastSave="{00000000-0000-0000-0000-000000000000}"/>
  <bookViews>
    <workbookView xWindow="20160" yWindow="600" windowWidth="31040" windowHeight="26400" xr2:uid="{00000000-000D-0000-FFFF-FFFF00000000}"/>
  </bookViews>
  <sheets>
    <sheet name="Dashboard" sheetId="1" r:id="rId1"/>
    <sheet name="GlobalETF" sheetId="2" r:id="rId2"/>
    <sheet name="GrowthEngine" sheetId="3" r:id="rId3"/>
    <sheet name="IncomeStrategy" sheetId="4" r:id="rId4"/>
    <sheet name="Gold" sheetId="5" r:id="rId5"/>
    <sheet name="Todo" sheetId="7" r:id="rId6"/>
  </sheets>
  <externalReferences>
    <externalReference r:id="rId7"/>
  </externalReferences>
  <definedNames>
    <definedName name="_xlnm._FilterDatabase" localSheetId="3" hidden="1">IncomeStrategy!$A$1:$E$1</definedName>
    <definedName name="ExternalData_1" localSheetId="0" hidden="1">Dashboard!$J$41:$K$46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" l="1" a="1"/>
  <c r="I22" i="1" s="1"/>
  <c r="G23" i="1"/>
  <c r="G22" i="1"/>
  <c r="F22" i="1" a="1"/>
  <c r="F22" i="1" s="1"/>
  <c r="O20" i="1"/>
  <c r="O21" i="1"/>
  <c r="O22" i="1"/>
  <c r="O19" i="1"/>
  <c r="O13" i="1"/>
  <c r="O14" i="1"/>
  <c r="O15" i="1"/>
  <c r="O16" i="1"/>
  <c r="O17" i="1"/>
  <c r="O6" i="1"/>
  <c r="O7" i="1"/>
  <c r="O8" i="1"/>
  <c r="O10" i="1"/>
  <c r="O5" i="1"/>
  <c r="I15" i="1" l="1"/>
  <c r="F15" i="1"/>
  <c r="I17" i="1"/>
  <c r="F17" i="1"/>
  <c r="I21" i="1"/>
  <c r="F21" i="1"/>
  <c r="I11" i="1" a="1"/>
  <c r="I11" i="1" s="1"/>
  <c r="F11" i="1" a="1"/>
  <c r="F11" i="1" s="1"/>
  <c r="I19" i="1" a="1"/>
  <c r="I19" i="1" s="1"/>
  <c r="F19" i="1" a="1"/>
  <c r="F19" i="1" s="1"/>
  <c r="I16" i="1"/>
  <c r="F16" i="1"/>
  <c r="F14" i="1"/>
  <c r="I14" i="1"/>
  <c r="C24" i="1"/>
  <c r="K14" i="1" l="1"/>
  <c r="N14" i="1" s="1"/>
  <c r="I13" i="1"/>
  <c r="I10" i="1"/>
  <c r="F13" i="1"/>
  <c r="F10" i="1"/>
  <c r="I23" i="1"/>
  <c r="F23" i="1"/>
  <c r="F4" i="1" a="1"/>
  <c r="F4" i="1" s="1"/>
  <c r="I20" i="1" a="1"/>
  <c r="I20" i="1" s="1"/>
  <c r="F20" i="1" a="1"/>
  <c r="F20" i="1" s="1"/>
  <c r="I8" i="1"/>
  <c r="F8" i="1"/>
  <c r="I7" i="1"/>
  <c r="F7" i="1"/>
  <c r="I6" i="1"/>
  <c r="F6" i="1"/>
  <c r="I5" i="1"/>
  <c r="F5" i="1"/>
  <c r="I4" i="1" a="1"/>
  <c r="I4" i="1" s="1"/>
  <c r="A58" i="1"/>
  <c r="A57" i="1"/>
  <c r="A56" i="1"/>
  <c r="A55" i="1"/>
  <c r="A54" i="1"/>
  <c r="A53" i="1"/>
  <c r="A52" i="1"/>
  <c r="H2" i="1" l="1"/>
  <c r="E2" i="1"/>
  <c r="K17" i="1"/>
  <c r="N17" i="1" s="1"/>
  <c r="G46" i="1"/>
  <c r="K23" i="1"/>
  <c r="K10" i="1"/>
  <c r="N10" i="1" s="1"/>
  <c r="K8" i="1"/>
  <c r="N8" i="1" s="1"/>
  <c r="K7" i="1"/>
  <c r="N7" i="1" s="1"/>
  <c r="K45" i="1" s="1"/>
  <c r="K5" i="1"/>
  <c r="N5" i="1" s="1"/>
  <c r="K46" i="1" s="1"/>
  <c r="K6" i="1"/>
  <c r="N6" i="1" s="1"/>
  <c r="K44" i="1" s="1"/>
  <c r="K20" i="1"/>
  <c r="N20" i="1" s="1"/>
  <c r="K21" i="1"/>
  <c r="N21" i="1" s="1"/>
  <c r="K22" i="1"/>
  <c r="N22" i="1" s="1"/>
  <c r="K13" i="1"/>
  <c r="N13" i="1" s="1"/>
  <c r="K15" i="1"/>
  <c r="N15" i="1" s="1"/>
  <c r="K16" i="1"/>
  <c r="N16" i="1" s="1"/>
  <c r="K19" i="1"/>
  <c r="N19" i="1" s="1"/>
  <c r="K4" i="1"/>
  <c r="K43" i="1" l="1"/>
  <c r="K42" i="1"/>
  <c r="C57" i="1"/>
  <c r="C56" i="1"/>
  <c r="C58" i="1"/>
  <c r="C55" i="1"/>
  <c r="C54" i="1"/>
  <c r="C52" i="1"/>
  <c r="H21" i="1"/>
  <c r="H20" i="1"/>
  <c r="H19" i="1"/>
  <c r="J19" i="1" s="1"/>
  <c r="H23" i="1"/>
  <c r="H22" i="1"/>
  <c r="H11" i="1"/>
  <c r="H4" i="1"/>
  <c r="K11" i="1"/>
  <c r="C53" i="1" l="1"/>
  <c r="E20" i="1"/>
  <c r="G20" i="1" s="1"/>
  <c r="E21" i="1"/>
  <c r="G21" i="1" s="1"/>
  <c r="H17" i="1"/>
  <c r="J17" i="1" s="1"/>
  <c r="H14" i="1"/>
  <c r="J14" i="1" s="1"/>
  <c r="H16" i="1"/>
  <c r="J16" i="1" s="1"/>
  <c r="H15" i="1"/>
  <c r="J15" i="1" s="1"/>
  <c r="H13" i="1"/>
  <c r="J13" i="1" s="1"/>
  <c r="J22" i="1"/>
  <c r="J11" i="1"/>
  <c r="J23" i="1"/>
  <c r="E23" i="1"/>
  <c r="G42" i="1"/>
  <c r="M11" i="1" s="1"/>
  <c r="E22" i="1"/>
  <c r="E11" i="1"/>
  <c r="E19" i="1"/>
  <c r="G19" i="1" s="1"/>
  <c r="E4" i="1"/>
  <c r="H7" i="1"/>
  <c r="J7" i="1" s="1"/>
  <c r="H6" i="1"/>
  <c r="J6" i="1" s="1"/>
  <c r="H10" i="1"/>
  <c r="J10" i="1" s="1"/>
  <c r="J4" i="1"/>
  <c r="H5" i="1"/>
  <c r="J5" i="1" s="1"/>
  <c r="H8" i="1"/>
  <c r="J8" i="1" s="1"/>
  <c r="M4" i="1" l="1"/>
  <c r="M23" i="1"/>
  <c r="M22" i="1"/>
  <c r="M21" i="1"/>
  <c r="M20" i="1"/>
  <c r="M19" i="1"/>
  <c r="D20" i="1"/>
  <c r="D21" i="1"/>
  <c r="E17" i="1"/>
  <c r="G17" i="1" s="1"/>
  <c r="E14" i="1"/>
  <c r="G14" i="1" s="1"/>
  <c r="E15" i="1"/>
  <c r="G15" i="1" s="1"/>
  <c r="E16" i="1"/>
  <c r="G16" i="1" s="1"/>
  <c r="E13" i="1"/>
  <c r="G13" i="1" s="1"/>
  <c r="G11" i="1"/>
  <c r="J20" i="1"/>
  <c r="G44" i="1"/>
  <c r="H43" i="1" s="1"/>
  <c r="H45" i="1"/>
  <c r="D23" i="1"/>
  <c r="D11" i="1"/>
  <c r="D22" i="1"/>
  <c r="D4" i="1"/>
  <c r="D19" i="1"/>
  <c r="E10" i="1"/>
  <c r="G10" i="1" s="1"/>
  <c r="E8" i="1"/>
  <c r="G8" i="1" s="1"/>
  <c r="E5" i="1"/>
  <c r="G5" i="1" s="1"/>
  <c r="E7" i="1"/>
  <c r="G7" i="1" s="1"/>
  <c r="E6" i="1"/>
  <c r="G6" i="1" s="1"/>
  <c r="G4" i="1"/>
  <c r="J21" i="1"/>
  <c r="D17" i="1" l="1"/>
  <c r="D14" i="1"/>
  <c r="B53" i="1"/>
  <c r="D13" i="1"/>
  <c r="D16" i="1"/>
  <c r="D15" i="1"/>
  <c r="B58" i="1"/>
  <c r="B54" i="1"/>
  <c r="B52" i="1"/>
  <c r="D7" i="1"/>
  <c r="D8" i="1"/>
  <c r="D6" i="1"/>
  <c r="D5" i="1"/>
  <c r="D10" i="1"/>
  <c r="B57" i="1"/>
  <c r="B56" i="1" l="1"/>
  <c r="B5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Hong Kiat Koh</author>
  </authors>
  <commentList>
    <comment ref="F4" authorId="0" shapeId="0" xr:uid="{00000000-0006-0000-0000-000001000000}">
      <text>
        <r>
          <rPr>
            <sz val="11"/>
            <color rgb="FF000000"/>
            <rFont val="Calibri"/>
            <family val="2"/>
          </rPr>
          <t xml:space="preserve">Hong Kiat Koh:
</t>
        </r>
        <r>
          <rPr>
            <sz val="11"/>
            <color rgb="FF000000"/>
            <rFont val="Calibri"/>
            <family val="2"/>
          </rPr>
          <t xml:space="preserve">Reads all tickers from the GlobalETF sheet column A
</t>
        </r>
        <r>
          <rPr>
            <sz val="11"/>
            <color rgb="FF000000"/>
            <rFont val="Calibri"/>
            <family val="2"/>
          </rPr>
          <t xml:space="preserve">Looks for matching symbols in PositionsHK column F
</t>
        </r>
        <r>
          <rPr>
            <sz val="11"/>
            <color rgb="FF000000"/>
            <rFont val="Calibri"/>
            <family val="2"/>
          </rPr>
          <t>Sums the corresponding PositionValue from column O</t>
        </r>
      </text>
    </comment>
    <comment ref="F19" authorId="0" shapeId="0" xr:uid="{251562D2-9ED7-E049-AAAA-9E660B8B838E}">
      <text>
        <r>
          <rPr>
            <b/>
            <sz val="10"/>
            <color rgb="FF000000"/>
            <rFont val="Tahoma"/>
            <family val="2"/>
          </rPr>
          <t>Hong Kiat Koh: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What it now does: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Sums all stocks from your IncomeStrategy list (covered calls, secured puts on these)
</t>
        </r>
        <r>
          <rPr>
            <sz val="10"/>
            <color rgb="FF000000"/>
            <rFont val="Tahoma"/>
            <family val="2"/>
          </rPr>
          <t xml:space="preserve">Adds all OPT positions (stock options income strategies)
</t>
        </r>
        <r>
          <rPr>
            <sz val="10"/>
            <color rgb="FF000000"/>
            <rFont val="Tahoma"/>
            <family val="2"/>
          </rPr>
          <t xml:space="preserve">Subtracts SPY options (these are insurance, go to F21)
</t>
        </r>
        <r>
          <rPr>
            <sz val="10"/>
            <color rgb="FF000000"/>
            <rFont val="Tahoma"/>
            <family val="2"/>
          </rPr>
          <t xml:space="preserve">Subtracts QQQ options (these are insurance, go to F21)
</t>
        </r>
        <r>
          <rPr>
            <sz val="10"/>
            <color rgb="FF000000"/>
            <rFont val="Tahoma"/>
            <family val="2"/>
          </rPr>
          <t xml:space="preserve">Adds all FOP positions (futures options income strategies like iron condors)
</t>
        </r>
        <r>
          <rPr>
            <sz val="10"/>
            <color rgb="FF000000"/>
            <rFont val="Tahoma"/>
            <family val="2"/>
          </rPr>
          <t xml:space="preserve">Subtracts SPY futures options (insurance)
</t>
        </r>
        <r>
          <rPr>
            <sz val="10"/>
            <color rgb="FF000000"/>
            <rFont val="Tahoma"/>
            <family val="2"/>
          </rPr>
          <t>Subtracts QQQ futures options (insurance)</t>
        </r>
      </text>
    </comment>
    <comment ref="F21" authorId="0" shapeId="0" xr:uid="{1EF5D387-E706-A04F-A297-0E5FA3B2C38F}">
      <text>
        <r>
          <rPr>
            <b/>
            <sz val="10"/>
            <color rgb="FF000000"/>
            <rFont val="Tahoma"/>
            <family val="2"/>
          </rPr>
          <t>Hong Kiat Koh: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SPY and QQQ bear spreads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683B01-22F0-6543-B99B-7200B6978CC9}" keepAlive="1" name="Query - Query" description="Connection to the 'Query' query in the workbook." type="5" refreshedVersion="0" background="1">
    <dbPr connection="Provider=Microsoft.Mashup.OleDb.1;Data Source=$Workbook$;Location=Query;Extended Properties=&quot;&quot;" command="SELECT * FROM [Query]"/>
  </connection>
  <connection id="2" xr16:uid="{5914EF22-6A21-1D49-88C8-84D4D4FFB998}" keepAlive="1" name="Query - Query (2)" description="Connection to the 'Query (2)' query in the workbook." type="5" refreshedVersion="8" background="1" saveData="1">
    <dbPr connection="Provider=Microsoft.Mashup.OleDb.1;Data Source=$Workbook$;Location=&quot;Query (2)&quot;;Extended Properties=&quot;&quot;" command="SELECT * FROM [Query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<sst xmlns="http://schemas.openxmlformats.org/spreadsheetml/2006/main" count="276" uniqueCount="206">
  <si>
    <t>HK</t>
  </si>
  <si>
    <t>AL</t>
  </si>
  <si>
    <t>TOTAL</t>
  </si>
  <si>
    <t>Category</t>
  </si>
  <si>
    <t>Percent</t>
  </si>
  <si>
    <t>Target</t>
  </si>
  <si>
    <t>Actual Total</t>
  </si>
  <si>
    <t>Actual %</t>
  </si>
  <si>
    <t>Energy (INRA)</t>
  </si>
  <si>
    <t>Ticker</t>
  </si>
  <si>
    <t>CNY</t>
  </si>
  <si>
    <t>DHL</t>
  </si>
  <si>
    <t>EUR</t>
  </si>
  <si>
    <t>ES3</t>
  </si>
  <si>
    <t>SGD</t>
  </si>
  <si>
    <t>VWRA</t>
  </si>
  <si>
    <t>USD</t>
  </si>
  <si>
    <t>Primary Exchange</t>
  </si>
  <si>
    <t>AUM (USD)</t>
  </si>
  <si>
    <t>Exp. Ratio</t>
  </si>
  <si>
    <t>2025 Return</t>
  </si>
  <si>
    <t>Strategy Profile</t>
  </si>
  <si>
    <t>CSNDX</t>
  </si>
  <si>
    <t>INRA</t>
  </si>
  <si>
    <t>Best For</t>
  </si>
  <si>
    <t>2026 Profile</t>
  </si>
  <si>
    <t>Why It Works?</t>
  </si>
  <si>
    <t>SPY</t>
  </si>
  <si>
    <t>Broad Market</t>
  </si>
  <si>
    <t>All Strategies</t>
  </si>
  <si>
    <t>Tracks S&amp;P 500; ultra-liquid.</t>
  </si>
  <si>
    <t>Zero single-stock risk. Best for daily (0DTE) income and high-probability CSPs.</t>
  </si>
  <si>
    <t>ADBE</t>
  </si>
  <si>
    <t>Broad Tech</t>
  </si>
  <si>
    <t>Strangles</t>
  </si>
  <si>
    <t>High-margin AI creative tools.</t>
  </si>
  <si>
    <t>High share price; "smooth" price action with low spread slippage.</t>
  </si>
  <si>
    <t>AMD</t>
  </si>
  <si>
    <t>High retail volume; volatile.</t>
  </si>
  <si>
    <t>More affordable alternative to NVDA with high premium yield.</t>
  </si>
  <si>
    <t>CSP / Wheel</t>
  </si>
  <si>
    <t>CRM</t>
  </si>
  <si>
    <t>Subscription-based cash flow.</t>
  </si>
  <si>
    <t>Low downside risk due to recurring revenue stability.</t>
  </si>
  <si>
    <t>CSCO</t>
  </si>
  <si>
    <t>CSP / CC</t>
  </si>
  <si>
    <t>Defensive; bond-like value.</t>
  </si>
  <si>
    <t>Best for conservative traders looking for very high win rates.</t>
  </si>
  <si>
    <t>ORCL</t>
  </si>
  <si>
    <t>Massive cloud backlog.</t>
  </si>
  <si>
    <t>Higher volatility than MSFT, offering better Strangle returns.</t>
  </si>
  <si>
    <t>COST</t>
  </si>
  <si>
    <t>Consumer Staples</t>
  </si>
  <si>
    <t>CSP / Iron Condors</t>
  </si>
  <si>
    <t>Strong 8.2% net sales growth; high membership renewal rates; 20%+ digital sales growth in early FY2026.</t>
  </si>
  <si>
    <t>Differentiated membership model creates recurring revenue; bulk-buying value proposition is highly attractive to cost-conscious consumers during a recession.</t>
  </si>
  <si>
    <t>PEP</t>
  </si>
  <si>
    <t>CSP / Dividend Growth</t>
  </si>
  <si>
    <t>Targeting 4-6% revenue growth; record productivity savings from automation; 53+ years of consecutive dividend increases.</t>
  </si>
  <si>
    <t>High nearly 4% yield provides a price floor; inelastic demand for snacks/beverages offers stable cash flow even in downturns.</t>
  </si>
  <si>
    <t>WMT</t>
  </si>
  <si>
    <t>Global omnichannel leader with 27%+ e-commerce growth; expanding high-margin ad and membership streams.</t>
  </si>
  <si>
    <t>Defensive giant that gains market share during recessions as consumers "trade down" to its everyday low prices.</t>
  </si>
  <si>
    <t>XOM</t>
  </si>
  <si>
    <t>Energy</t>
  </si>
  <si>
    <t>Massive buybacks &amp; FCF.</t>
  </si>
  <si>
    <t>Corporate buybacks create a "synthetic floor" for put sellers.</t>
  </si>
  <si>
    <t>JPM</t>
  </si>
  <si>
    <t>Financials</t>
  </si>
  <si>
    <t>Fortress balance sheet; 15% ROE.</t>
  </si>
  <si>
    <t>The gold standard for the "Wheel" strategy in financials.</t>
  </si>
  <si>
    <t>V</t>
  </si>
  <si>
    <t>50%+ net profit margins.</t>
  </si>
  <si>
    <t>"Toll booth" business model provides exceptional price stability.</t>
  </si>
  <si>
    <t>LLY</t>
  </si>
  <si>
    <t>Healthcare</t>
  </si>
  <si>
    <t>GLP-1 (weight loss) drug leader.</t>
  </si>
  <si>
    <t>Growth-stock premiums in a historically stable sector.</t>
  </si>
  <si>
    <t>UNH</t>
  </si>
  <si>
    <t>High share price; steady FCF.</t>
  </si>
  <si>
    <t>High dollar-value premiums per contract; very liquid.</t>
  </si>
  <si>
    <t>AAPL</t>
  </si>
  <si>
    <t>Mag 7 / IT</t>
  </si>
  <si>
    <t>Covered Calls</t>
  </si>
  <si>
    <t>$4T market cap; Services growth.</t>
  </si>
  <si>
    <t>Tightest spreads in the market; perfect for low-risk "rent" collection.</t>
  </si>
  <si>
    <t>AMZN</t>
  </si>
  <si>
    <t>AWS/Ads driving 60% of profits.</t>
  </si>
  <si>
    <t>High range-bound predictability; resists sector-wide selloffs.</t>
  </si>
  <si>
    <t>GOOGL</t>
  </si>
  <si>
    <t>Iron Condors</t>
  </si>
  <si>
    <t>Cloud profit engine; range-bound.</t>
  </si>
  <si>
    <t>Predictable behavior between technical support/resistance levels.</t>
  </si>
  <si>
    <t>META</t>
  </si>
  <si>
    <t>Credit Spreads</t>
  </si>
  <si>
    <t>Robust buybacks; high net margins.</t>
  </si>
  <si>
    <t>Strong price momentum; high premium relative to its price.</t>
  </si>
  <si>
    <t>MSFT</t>
  </si>
  <si>
    <t>$30B+ quarterly net income.</t>
  </si>
  <si>
    <t>"Safety king"; high institutional support creates strong price floors.</t>
  </si>
  <si>
    <t>NVDA</t>
  </si>
  <si>
    <t>Strangles / CC</t>
  </si>
  <si>
    <t>High IV; $500B+ AI order backlog.</t>
  </si>
  <si>
    <t>Highest premium yield; deep liquidity for rolling trades.</t>
  </si>
  <si>
    <t>TSLA</t>
  </si>
  <si>
    <t>CC / CSP</t>
  </si>
  <si>
    <t>Extremely high IV; high beta.</t>
  </si>
  <si>
    <t>Maximum income potential; best for aggressive cost-basis reduction.</t>
  </si>
  <si>
    <t>QQQ</t>
  </si>
  <si>
    <t>Tech Index</t>
  </si>
  <si>
    <t>Tracks Nasdaq 100; higher IV than SPY.</t>
  </si>
  <si>
    <t>Captures tech growth volatility without the risk of a single company failing.</t>
  </si>
  <si>
    <t>GSD</t>
  </si>
  <si>
    <t>Physical Gold ETF (Bullion-backed)</t>
  </si>
  <si>
    <t>Wealth preservation &amp; Portfolio insurance</t>
  </si>
  <si>
    <t>Bullish Outlook: Price targets are pushing toward $5,000/oz by Q4 2026.</t>
  </si>
  <si>
    <t>Diversification: High liquidity and low correlation to traditional stocks.</t>
  </si>
  <si>
    <t>DHL (dividend)</t>
  </si>
  <si>
    <t>ES3 (singapore banks)</t>
  </si>
  <si>
    <t>Actual</t>
  </si>
  <si>
    <t>Total</t>
  </si>
  <si>
    <t>Invested</t>
  </si>
  <si>
    <t>Cash</t>
  </si>
  <si>
    <t xml:space="preserve">Actual % </t>
  </si>
  <si>
    <t>Currency</t>
  </si>
  <si>
    <t>CHF</t>
  </si>
  <si>
    <t>Global Triads (the strategic core)</t>
  </si>
  <si>
    <t>Four Horsemen (growth engine)</t>
  </si>
  <si>
    <t>The War Chest (Cash)</t>
  </si>
  <si>
    <t>WORLD</t>
  </si>
  <si>
    <t>XMME</t>
  </si>
  <si>
    <t>Focus and Sector</t>
  </si>
  <si>
    <t>Expense Ratio</t>
  </si>
  <si>
    <t>Investment Strategy Profile</t>
  </si>
  <si>
    <t>AUM</t>
  </si>
  <si>
    <t>1 Year Returns</t>
  </si>
  <si>
    <t>~CNY 1.45B</t>
  </si>
  <si>
    <t>N/A</t>
  </si>
  <si>
    <t>+29.64%</t>
  </si>
  <si>
    <t>0.30%</t>
  </si>
  <si>
    <t>~SGD 2.4B</t>
  </si>
  <si>
    <t>+34.03%</t>
  </si>
  <si>
    <t>0.19%</t>
  </si>
  <si>
    <t>~USD 51.5B</t>
  </si>
  <si>
    <t>+22.49%</t>
  </si>
  <si>
    <t>0.55%</t>
  </si>
  <si>
    <t>~CHF 981M</t>
  </si>
  <si>
    <t>+13.29%</t>
  </si>
  <si>
    <t>0.18%</t>
  </si>
  <si>
    <t>~CHF 7.85B</t>
  </si>
  <si>
    <t>+14.72%</t>
  </si>
  <si>
    <t>Deutsche Post AG - logistics/freight)</t>
  </si>
  <si>
    <t>EQCH</t>
  </si>
  <si>
    <t>CBUK</t>
  </si>
  <si>
    <t>Germany</t>
  </si>
  <si>
    <t>Swiss</t>
  </si>
  <si>
    <t>Netherlands</t>
  </si>
  <si>
    <t>Country</t>
  </si>
  <si>
    <t>UK</t>
  </si>
  <si>
    <t>2.1b</t>
  </si>
  <si>
    <t>600m</t>
  </si>
  <si>
    <t>22.5b</t>
  </si>
  <si>
    <t>686m</t>
  </si>
  <si>
    <t>1.0b</t>
  </si>
  <si>
    <t>CurrencyPrimary</t>
  </si>
  <si>
    <t>Total Value USD</t>
  </si>
  <si>
    <t>The Omega (insurance, SPY and QQQ bear spreads)</t>
  </si>
  <si>
    <t>The Alpha (theme stocks)</t>
  </si>
  <si>
    <t>Cash Cow (income Strategy, wheel/CSPs/CC/callOpts)</t>
  </si>
  <si>
    <t xml:space="preserve">Singapore Blue-Chip Equities </t>
  </si>
  <si>
    <t>China Large &amp; Mid-Cap Equities</t>
  </si>
  <si>
    <t>CSI 300 Index</t>
  </si>
  <si>
    <t>integrated freight &amp; logistics company. Dividend yield ~4.5%</t>
  </si>
  <si>
    <t>Straits Times Index 30 Singapore companies including DBS, OCBC, UOB</t>
  </si>
  <si>
    <t>Global All-World Equities</t>
  </si>
  <si>
    <t>Developed + Emerging Markets, ~3,900 holdings across 50 countries</t>
  </si>
  <si>
    <t>Developed Markets Equities</t>
  </si>
  <si>
    <t>Emerging Markets Equities</t>
  </si>
  <si>
    <t>large &amp; mid-cap stocks from 24 emerging market countries</t>
  </si>
  <si>
    <t>MSCI World Index, CHF-hedged, Large &amp; Mid-Cap stocks 23 developed countries</t>
  </si>
  <si>
    <t>Actual % of Total</t>
  </si>
  <si>
    <t>Cash vs Invested</t>
  </si>
  <si>
    <t>Core</t>
  </si>
  <si>
    <t>Growth</t>
  </si>
  <si>
    <t>Income</t>
  </si>
  <si>
    <t>Theme</t>
  </si>
  <si>
    <t>Insurance</t>
  </si>
  <si>
    <t>Gold</t>
  </si>
  <si>
    <t>CMG</t>
  </si>
  <si>
    <t>NFLX</t>
  </si>
  <si>
    <t>SMH</t>
  </si>
  <si>
    <t>GRDU</t>
  </si>
  <si>
    <t>Energy (GRDU)</t>
  </si>
  <si>
    <t>XMME (EM, unhedged) - india 18%</t>
  </si>
  <si>
    <t>China CSI300 (82846)</t>
  </si>
  <si>
    <t>China Robotics (9807.HK)</t>
  </si>
  <si>
    <t>EQCH (QQQ, hedged)</t>
  </si>
  <si>
    <t xml:space="preserve">CBUK (CQQQ, unhedged) </t>
  </si>
  <si>
    <t>VWRA (VT, incl. EM)</t>
  </si>
  <si>
    <t>Portfolio</t>
  </si>
  <si>
    <t>The Vault (GSD, Gold)</t>
  </si>
  <si>
    <t>Senior Tier-1 Gold Producer. Canada-based global miner with major operations in Canada (Detour Lake, Canadian Malartic), Australia (Fosterville), and Finland (Kittila).</t>
  </si>
  <si>
    <t>AEM</t>
  </si>
  <si>
    <t>Low-Risk Jurisdictions &amp; High Margins. Focuses on politically stable regions (Canada/Australia) to avoid resource nationalism. Boasts record-level profit margins (37.5%) and some of the industry's lowest All-In Sustaining Costs (AISC), ensuring profitability even if gold prices soften.</t>
  </si>
  <si>
    <t>Stable Gold Exposure &amp; Dividend Income. Ideal for "Buy and Hold" investors seeking safe-haven assets with consistent income; has paid a dividend every year since 1983.</t>
  </si>
  <si>
    <t>Bullish Growth. Median 12-month analyst price target is approximately $250.50, with high-end bull cases reaching $312 – $333 following a surge in gold prices to over $5,000/oz in early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</si>
</sst>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onsolas"/>
      <family val="2"/>
    </font>
    <font>
      <b/>
      <sz val="12"/>
      <color theme="1"/>
      <name val="Consolas"/>
      <family val="2"/>
    </font>
    <font>
      <sz val="12"/>
      <color rgb="FF1F1F1F"/>
      <name val="Consolas"/>
      <family val="2"/>
    </font>
    <font>
      <i/>
      <sz val="12"/>
      <color theme="1"/>
      <name val="Consolas"/>
      <family val="2"/>
    </font>
    <font>
      <i/>
      <sz val="10"/>
      <color theme="1"/>
      <name val="Consolas"/>
      <family val="2"/>
    </font>
    <font>
      <sz val="11"/>
      <color rgb="FF000000"/>
      <name val="Calibri"/>
      <family val="2"/>
    </font>
    <font>
      <i/>
      <sz val="12"/>
      <color theme="1" tint="0.14999847407452621"/>
      <name val="Consolas"/>
      <family val="2"/>
    </font>
    <font>
      <b/>
      <sz val="12"/>
      <name val="Consolas"/>
      <family val="2"/>
    </font>
    <font>
      <sz val="10"/>
      <color theme="1"/>
      <name val="Consolas"/>
      <family val="2"/>
    </font>
    <font>
      <b/>
      <sz val="10"/>
      <color theme="1"/>
      <name val="Consolas"/>
      <family val="2"/>
    </font>
    <font>
      <sz val="9"/>
      <color theme="1"/>
      <name val="Consolas"/>
      <family val="2"/>
    </font>
    <font>
      <sz val="10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1"/>
      <color theme="1"/>
      <name val="Calibri"/>
      <family val="2"/>
      <scheme val="minor"/>
    </font>
    <font>
      <i/>
      <sz val="12"/>
      <color rgb="FFFF0000"/>
      <name val="Consolas"/>
      <family val="2"/>
    </font>
    <font>
      <i/>
      <sz val="12"/>
      <name val="Consolas"/>
      <family val="2"/>
    </font>
  </fonts>
  <fills count="3">
    <fill>
      <patternFill patternType="none"/>
    </fill>
    <fill>
      <patternFill patternType="gray125"/>
    </fill>
    <fill>
      <patternFill patternType="solid">
        <fgColor rgb="FFFFFD78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44" fontId="1" fillId="0" borderId="0"/>
    <xf numFmtId="9" fontId="1" fillId="0" borderId="0"/>
    <xf numFmtId="43" fontId="1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10" fontId="2" fillId="0" borderId="0" xfId="0" applyNumberFormat="1" applyFont="1"/>
    <xf numFmtId="44" fontId="2" fillId="0" borderId="0" xfId="0" applyNumberFormat="1" applyFont="1"/>
    <xf numFmtId="0" fontId="2" fillId="0" borderId="2" xfId="0" applyFont="1" applyBorder="1"/>
    <xf numFmtId="0" fontId="2" fillId="0" borderId="3" xfId="0" applyFont="1" applyBorder="1"/>
    <xf numFmtId="164" fontId="2" fillId="0" borderId="3" xfId="0" applyNumberFormat="1" applyFont="1" applyBorder="1"/>
    <xf numFmtId="44" fontId="2" fillId="0" borderId="3" xfId="0" applyNumberFormat="1" applyFont="1" applyBorder="1"/>
    <xf numFmtId="9" fontId="2" fillId="0" borderId="0" xfId="2" applyFont="1"/>
    <xf numFmtId="0" fontId="6" fillId="0" borderId="0" xfId="0" applyFont="1"/>
    <xf numFmtId="0" fontId="3" fillId="0" borderId="1" xfId="0" applyFont="1" applyBorder="1" applyAlignment="1">
      <alignment horizontal="center"/>
    </xf>
    <xf numFmtId="0" fontId="10" fillId="0" borderId="0" xfId="0" applyFont="1"/>
    <xf numFmtId="0" fontId="11" fillId="0" borderId="0" xfId="0" applyFont="1"/>
    <xf numFmtId="165" fontId="11" fillId="0" borderId="0" xfId="1" applyNumberFormat="1" applyFont="1"/>
    <xf numFmtId="165" fontId="11" fillId="0" borderId="0" xfId="0" applyNumberFormat="1" applyFont="1"/>
    <xf numFmtId="0" fontId="12" fillId="0" borderId="0" xfId="0" applyFont="1"/>
    <xf numFmtId="166" fontId="10" fillId="0" borderId="0" xfId="3" applyNumberFormat="1" applyFont="1"/>
    <xf numFmtId="10" fontId="13" fillId="0" borderId="0" xfId="2" applyNumberFormat="1" applyFont="1"/>
    <xf numFmtId="165" fontId="3" fillId="0" borderId="0" xfId="1" applyNumberFormat="1" applyFont="1"/>
    <xf numFmtId="165" fontId="8" fillId="0" borderId="0" xfId="1" applyNumberFormat="1" applyFont="1"/>
    <xf numFmtId="0" fontId="3" fillId="0" borderId="5" xfId="0" applyFont="1" applyBorder="1"/>
    <xf numFmtId="44" fontId="3" fillId="0" borderId="5" xfId="1" applyFont="1" applyBorder="1"/>
    <xf numFmtId="44" fontId="2" fillId="0" borderId="0" xfId="1" applyFont="1"/>
    <xf numFmtId="0" fontId="3" fillId="0" borderId="4" xfId="0" applyFont="1" applyBorder="1" applyAlignment="1">
      <alignment horizontal="center"/>
    </xf>
    <xf numFmtId="165" fontId="3" fillId="0" borderId="5" xfId="1" applyNumberFormat="1" applyFont="1" applyBorder="1"/>
    <xf numFmtId="165" fontId="8" fillId="0" borderId="5" xfId="1" applyNumberFormat="1" applyFont="1" applyBorder="1"/>
    <xf numFmtId="165" fontId="3" fillId="0" borderId="4" xfId="1" applyNumberFormat="1" applyFont="1" applyBorder="1"/>
    <xf numFmtId="0" fontId="2" fillId="0" borderId="7" xfId="0" applyFont="1" applyBorder="1"/>
    <xf numFmtId="44" fontId="2" fillId="0" borderId="7" xfId="1" applyFont="1" applyBorder="1"/>
    <xf numFmtId="0" fontId="3" fillId="0" borderId="8" xfId="0" applyFont="1" applyBorder="1" applyAlignment="1">
      <alignment horizontal="center"/>
    </xf>
    <xf numFmtId="9" fontId="3" fillId="0" borderId="7" xfId="2" applyFont="1" applyBorder="1"/>
    <xf numFmtId="9" fontId="8" fillId="0" borderId="7" xfId="2" applyFont="1" applyBorder="1"/>
    <xf numFmtId="9" fontId="3" fillId="0" borderId="8" xfId="2" applyFont="1" applyBorder="1"/>
    <xf numFmtId="0" fontId="2" fillId="0" borderId="9" xfId="0" applyFont="1" applyBorder="1"/>
    <xf numFmtId="0" fontId="3" fillId="0" borderId="6" xfId="0" applyFont="1" applyBorder="1"/>
    <xf numFmtId="0" fontId="3" fillId="0" borderId="9" xfId="0" applyFont="1" applyBorder="1"/>
    <xf numFmtId="0" fontId="5" fillId="0" borderId="9" xfId="0" applyFont="1" applyBorder="1" applyAlignment="1">
      <alignment horizontal="left" indent="4"/>
    </xf>
    <xf numFmtId="0" fontId="2" fillId="0" borderId="5" xfId="0" applyFont="1" applyBorder="1"/>
    <xf numFmtId="165" fontId="3" fillId="0" borderId="5" xfId="0" applyNumberFormat="1" applyFont="1" applyBorder="1"/>
    <xf numFmtId="165" fontId="8" fillId="0" borderId="5" xfId="0" applyNumberFormat="1" applyFont="1" applyBorder="1"/>
    <xf numFmtId="165" fontId="3" fillId="0" borderId="4" xfId="0" applyNumberFormat="1" applyFont="1" applyBorder="1"/>
    <xf numFmtId="0" fontId="3" fillId="0" borderId="1" xfId="0" applyFont="1" applyBorder="1"/>
    <xf numFmtId="0" fontId="5" fillId="0" borderId="0" xfId="0" applyFont="1" applyAlignment="1">
      <alignment horizontal="left" indent="4"/>
    </xf>
    <xf numFmtId="164" fontId="3" fillId="0" borderId="0" xfId="2" applyNumberFormat="1" applyFont="1"/>
    <xf numFmtId="165" fontId="1" fillId="0" borderId="0" xfId="1" applyNumberFormat="1"/>
    <xf numFmtId="0" fontId="16" fillId="0" borderId="0" xfId="0" applyFont="1"/>
    <xf numFmtId="0" fontId="3" fillId="0" borderId="0" xfId="0" applyFont="1" applyAlignment="1">
      <alignment horizontal="left" indent="4"/>
    </xf>
    <xf numFmtId="164" fontId="16" fillId="0" borderId="10" xfId="2" applyNumberFormat="1" applyFont="1" applyBorder="1" applyAlignment="1">
      <alignment horizontal="center"/>
    </xf>
    <xf numFmtId="164" fontId="16" fillId="0" borderId="7" xfId="2" applyNumberFormat="1" applyFont="1" applyBorder="1" applyAlignment="1">
      <alignment horizontal="center"/>
    </xf>
    <xf numFmtId="164" fontId="16" fillId="0" borderId="8" xfId="2" applyNumberFormat="1" applyFont="1" applyBorder="1" applyAlignment="1">
      <alignment horizontal="center"/>
    </xf>
    <xf numFmtId="165" fontId="3" fillId="0" borderId="5" xfId="0" applyNumberFormat="1" applyFont="1" applyBorder="1" applyAlignment="1">
      <alignment horizontal="center"/>
    </xf>
    <xf numFmtId="165" fontId="8" fillId="0" borderId="5" xfId="0" applyNumberFormat="1" applyFont="1" applyBorder="1" applyAlignment="1">
      <alignment horizontal="center"/>
    </xf>
    <xf numFmtId="165" fontId="3" fillId="0" borderId="4" xfId="0" applyNumberFormat="1" applyFont="1" applyBorder="1" applyAlignment="1">
      <alignment horizontal="center"/>
    </xf>
    <xf numFmtId="0" fontId="4" fillId="0" borderId="0" xfId="0" applyFont="1"/>
    <xf numFmtId="0" fontId="17" fillId="0" borderId="9" xfId="0" applyFont="1" applyBorder="1" applyAlignment="1">
      <alignment horizontal="left" indent="4"/>
    </xf>
    <xf numFmtId="164" fontId="18" fillId="0" borderId="0" xfId="2" applyNumberFormat="1" applyFont="1"/>
    <xf numFmtId="164" fontId="9" fillId="0" borderId="0" xfId="2" applyNumberFormat="1" applyFont="1"/>
    <xf numFmtId="164" fontId="18" fillId="2" borderId="0" xfId="2" applyNumberFormat="1" applyFont="1" applyFill="1"/>
    <xf numFmtId="165" fontId="9" fillId="2" borderId="1" xfId="1" applyNumberFormat="1" applyFont="1" applyFill="1" applyBorder="1" applyAlignment="1">
      <alignment horizontal="right"/>
    </xf>
    <xf numFmtId="0" fontId="2" fillId="0" borderId="11" xfId="0" applyFont="1" applyBorder="1"/>
    <xf numFmtId="0" fontId="2" fillId="0" borderId="10" xfId="0" applyFont="1" applyBorder="1"/>
    <xf numFmtId="0" fontId="2" fillId="0" borderId="4" xfId="0" applyFont="1" applyBorder="1"/>
    <xf numFmtId="0" fontId="2" fillId="0" borderId="8" xfId="0" applyFont="1" applyBorder="1"/>
    <xf numFmtId="165" fontId="2" fillId="0" borderId="5" xfId="0" applyNumberFormat="1" applyFont="1" applyBorder="1"/>
    <xf numFmtId="0" fontId="3" fillId="0" borderId="4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5" fillId="0" borderId="9" xfId="0" applyFont="1" applyFill="1" applyBorder="1" applyAlignment="1">
      <alignment horizontal="left" indent="4"/>
    </xf>
    <xf numFmtId="0" fontId="18" fillId="0" borderId="9" xfId="0" applyFont="1" applyFill="1" applyBorder="1" applyAlignment="1">
      <alignment horizontal="left" indent="4"/>
    </xf>
  </cellXfs>
  <cellStyles count="4">
    <cellStyle name="Comma" xfId="3" builtinId="3"/>
    <cellStyle name="Currency" xfId="1" builtinId="4"/>
    <cellStyle name="Normal" xfId="0" builtinId="0"/>
    <cellStyle name="Per cent" xfId="2" builtinId="5"/>
  </cellStyles>
  <dxfs count="22">
    <dxf>
      <fill>
        <patternFill>
          <bgColor rgb="FF92D050"/>
        </patternFill>
      </fill>
    </dxf>
    <dxf>
      <fill>
        <patternFill>
          <bgColor rgb="FFFFFD78"/>
        </patternFill>
      </fill>
    </dxf>
    <dxf>
      <fill>
        <patternFill>
          <bgColor rgb="FFFF7E79"/>
        </patternFill>
      </fill>
    </dxf>
    <dxf>
      <fill>
        <patternFill>
          <bgColor rgb="FFFF7E79"/>
        </patternFill>
      </fill>
    </dxf>
    <dxf>
      <fill>
        <patternFill>
          <bgColor rgb="FF92D050"/>
        </patternFill>
      </fill>
    </dxf>
    <dxf>
      <fill>
        <patternFill>
          <bgColor rgb="FFFFFD78"/>
        </patternFill>
      </fill>
    </dxf>
    <dxf>
      <fill>
        <patternFill>
          <bgColor rgb="FFFF7E79"/>
        </patternFill>
      </fill>
    </dxf>
    <dxf>
      <fill>
        <patternFill>
          <bgColor rgb="FFFF7E79"/>
        </patternFill>
      </fill>
    </dxf>
    <dxf>
      <fill>
        <patternFill>
          <bgColor rgb="FF92D050"/>
        </patternFill>
      </fill>
    </dxf>
    <dxf>
      <fill>
        <patternFill>
          <bgColor rgb="FFFFFD78"/>
        </patternFill>
      </fill>
    </dxf>
    <dxf>
      <fill>
        <patternFill>
          <bgColor rgb="FFFF7E79"/>
        </patternFill>
      </fill>
    </dxf>
    <dxf>
      <fill>
        <patternFill>
          <bgColor rgb="FFFF7E79"/>
        </patternFill>
      </fill>
    </dxf>
    <dxf>
      <fill>
        <patternFill>
          <bgColor rgb="FF92D050"/>
        </patternFill>
      </fill>
    </dxf>
    <dxf>
      <fill>
        <patternFill>
          <bgColor rgb="FFFFFD78"/>
        </patternFill>
      </fill>
    </dxf>
    <dxf>
      <fill>
        <patternFill>
          <bgColor rgb="FFFF7E79"/>
        </patternFill>
      </fill>
    </dxf>
    <dxf>
      <fill>
        <patternFill>
          <bgColor rgb="FFFF7E79"/>
        </patternFill>
      </fill>
    </dxf>
    <dxf>
      <fill>
        <patternFill>
          <bgColor rgb="FF92D050"/>
        </patternFill>
      </fill>
    </dxf>
    <dxf>
      <fill>
        <patternFill>
          <bgColor rgb="FFFFFD78"/>
        </patternFill>
      </fill>
    </dxf>
    <dxf>
      <fill>
        <patternFill>
          <bgColor rgb="FFFF7E79"/>
        </patternFill>
      </fill>
    </dxf>
    <dxf>
      <fill>
        <patternFill>
          <bgColor rgb="FFFF7E79"/>
        </patternFill>
      </fill>
    </dxf>
    <dxf>
      <numFmt numFmtId="165" formatCode="_(&quot;$&quot;* #,##0_);_(&quot;$&quot;* \(#,##0\);_(&quot;$&quot;* &quot;-&quot;??_);_(@_)"/>
    </dxf>
    <dxf>
      <font>
        <b/>
      </font>
    </dxf>
  </dxfs>
  <tableStyles count="0" defaultTableStyle="TableStyleMedium9" defaultPivotStyle="PivotStyleLight16"/>
  <colors>
    <mruColors>
      <color rgb="FFFFFD78"/>
      <color rgb="FFFF7E79"/>
      <color rgb="FFFF2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Dashboard!$B$51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Dashboard!$A$52:$A$58</c:f>
              <c:strCache>
                <c:ptCount val="7"/>
                <c:pt idx="0">
                  <c:v>Global Triads (the strategic core)</c:v>
                </c:pt>
                <c:pt idx="1">
                  <c:v>Four Horsemen (growth engine)</c:v>
                </c:pt>
                <c:pt idx="2">
                  <c:v>Cash Cow (income Strategy, wheel/CSPs/CC/callOpts)</c:v>
                </c:pt>
                <c:pt idx="3">
                  <c:v>The Alpha (theme stocks)</c:v>
                </c:pt>
                <c:pt idx="4">
                  <c:v>The Omega (insurance, SPY and QQQ bear spreads)</c:v>
                </c:pt>
                <c:pt idx="5">
                  <c:v>The Vault (GSD, Gold)</c:v>
                </c:pt>
                <c:pt idx="6">
                  <c:v>The War Chest (Cash)</c:v>
                </c:pt>
              </c:strCache>
            </c:strRef>
          </c:cat>
          <c:val>
            <c:numRef>
              <c:f>Dashboard!$B$52:$B$58</c:f>
              <c:numCache>
                <c:formatCode>_("$"* #,##0_);_("$"* \(#,##0\);_("$"* "-"??_);_(@_)</c:formatCode>
                <c:ptCount val="7"/>
                <c:pt idx="0">
                  <c:v>386878.51496000006</c:v>
                </c:pt>
                <c:pt idx="1">
                  <c:v>193439.25748000003</c:v>
                </c:pt>
                <c:pt idx="2">
                  <c:v>145079.44310999999</c:v>
                </c:pt>
                <c:pt idx="3">
                  <c:v>29015.888621999999</c:v>
                </c:pt>
                <c:pt idx="4">
                  <c:v>19343.925748000001</c:v>
                </c:pt>
                <c:pt idx="5">
                  <c:v>96719.628740000015</c:v>
                </c:pt>
                <c:pt idx="6">
                  <c:v>48359.814370000007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EB-B049-85E5-F5553A4B093C}"/>
            </c:ext>
          </c:extLst>
        </c:ser>
        <c:ser>
          <c:idx val="1"/>
          <c:order val="1"/>
          <c:tx>
            <c:strRef>
              <c:f>Dashboard!$C$51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Dashboard!$A$52:$A$58</c:f>
              <c:strCache>
                <c:ptCount val="7"/>
                <c:pt idx="0">
                  <c:v>Global Triads (the strategic core)</c:v>
                </c:pt>
                <c:pt idx="1">
                  <c:v>Four Horsemen (growth engine)</c:v>
                </c:pt>
                <c:pt idx="2">
                  <c:v>Cash Cow (income Strategy, wheel/CSPs/CC/callOpts)</c:v>
                </c:pt>
                <c:pt idx="3">
                  <c:v>The Alpha (theme stocks)</c:v>
                </c:pt>
                <c:pt idx="4">
                  <c:v>The Omega (insurance, SPY and QQQ bear spreads)</c:v>
                </c:pt>
                <c:pt idx="5">
                  <c:v>The Vault (GSD, Gold)</c:v>
                </c:pt>
                <c:pt idx="6">
                  <c:v>The War Chest (Cash)</c:v>
                </c:pt>
              </c:strCache>
            </c:strRef>
          </c:cat>
          <c:val>
            <c:numRef>
              <c:f>Dashboard!$C$52:$C$58</c:f>
              <c:numCache>
                <c:formatCode>_("$"* #,##0_);_("$"* \(#,##0\);_("$"* "-"??_);_(@_)</c:formatCode>
                <c:ptCount val="7"/>
                <c:pt idx="0">
                  <c:v>373713.701</c:v>
                </c:pt>
                <c:pt idx="1">
                  <c:v>108299.20439999999</c:v>
                </c:pt>
                <c:pt idx="2">
                  <c:v>94368.72</c:v>
                </c:pt>
                <c:pt idx="3">
                  <c:v>41219.992000000086</c:v>
                </c:pt>
                <c:pt idx="4">
                  <c:v>17401.84</c:v>
                </c:pt>
                <c:pt idx="5">
                  <c:v>82398.81</c:v>
                </c:pt>
                <c:pt idx="6">
                  <c:v>249794.02000000002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EB-B049-85E5-F5553A4B09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87657343"/>
        <c:axId val="687667199"/>
      </c:barChart>
      <c:catAx>
        <c:axId val="687657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667199"/>
        <c:crosses val="autoZero"/>
        <c:auto val="1"/>
        <c:lblAlgn val="ctr"/>
        <c:lblOffset val="100"/>
        <c:noMultiLvlLbl val="0"/>
      </c:catAx>
      <c:valAx>
        <c:axId val="687667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657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7CA-4240-A0C1-E5FBA5DBA144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57CA-4240-A0C1-E5FBA5DBA14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57CA-4240-A0C1-E5FBA5DBA14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57CA-4240-A0C1-E5FBA5DBA1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(Dashboard!$G$43,Dashboard!$G$45)</c:f>
              <c:strCache>
                <c:ptCount val="2"/>
                <c:pt idx="0">
                  <c:v>Invested</c:v>
                </c:pt>
                <c:pt idx="1">
                  <c:v>Cash</c:v>
                </c:pt>
              </c:strCache>
            </c:strRef>
          </c:cat>
          <c:val>
            <c:numRef>
              <c:f>(Dashboard!$H$43,Dashboard!$H$45)</c:f>
              <c:numCache>
                <c:formatCode>0.00%</c:formatCode>
                <c:ptCount val="2"/>
                <c:pt idx="0">
                  <c:v>0.74173389284661972</c:v>
                </c:pt>
                <c:pt idx="1">
                  <c:v>0.25826610715338028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CA-4240-A0C1-E5FBA5DBA144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Dashboard!$K$41</c:f>
              <c:strCache>
                <c:ptCount val="1"/>
                <c:pt idx="0">
                  <c:v>Total Value USD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7AB-6144-B7D4-D5E33E9380E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7AB-6144-B7D4-D5E33E9380E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7AB-6144-B7D4-D5E33E9380E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7AB-6144-B7D4-D5E33E9380E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7AB-6144-B7D4-D5E33E9380E8}"/>
              </c:ext>
            </c:extLst>
          </c:dPt>
          <c:dLbls>
            <c:dLbl>
              <c:idx val="0"/>
              <c:layout>
                <c:manualLayout>
                  <c:x val="-0.21536521793716484"/>
                  <c:y val="-5.144192034124735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7AB-6144-B7D4-D5E33E9380E8}"/>
                </c:ext>
              </c:extLst>
            </c:dLbl>
            <c:dLbl>
              <c:idx val="4"/>
              <c:layout>
                <c:manualLayout>
                  <c:x val="-1.2048192771084338E-2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7AB-6144-B7D4-D5E33E9380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Dashboard!$J$42:$J$46</c:f>
              <c:strCache>
                <c:ptCount val="5"/>
                <c:pt idx="0">
                  <c:v>USD</c:v>
                </c:pt>
                <c:pt idx="1">
                  <c:v>CHF</c:v>
                </c:pt>
                <c:pt idx="2">
                  <c:v>EUR</c:v>
                </c:pt>
                <c:pt idx="3">
                  <c:v>SGD</c:v>
                </c:pt>
                <c:pt idx="4">
                  <c:v>CNY</c:v>
                </c:pt>
              </c:strCache>
            </c:strRef>
          </c:cat>
          <c:val>
            <c:numRef>
              <c:f>Dashboard!$K$42:$K$46</c:f>
              <c:numCache>
                <c:formatCode>_("$"* #,##0_);_("$"* \(#,##0\);_("$"* "-"??_);_(@_)</c:formatCode>
                <c:ptCount val="5"/>
                <c:pt idx="0">
                  <c:v>392933.95200000011</c:v>
                </c:pt>
                <c:pt idx="1">
                  <c:v>116320.94839999999</c:v>
                </c:pt>
                <c:pt idx="2">
                  <c:v>51433.584999999999</c:v>
                </c:pt>
                <c:pt idx="3">
                  <c:v>150209.20199999999</c:v>
                </c:pt>
                <c:pt idx="4">
                  <c:v>22748.080000000002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AB-6144-B7D4-D5E33E9380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5B79-724A-AB6E-048CA154099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BAD-AD48-8C0D-73135ACD663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BAD-AD48-8C0D-73135ACD663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BAD-AD48-8C0D-73135ACD663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BAD-AD48-8C0D-73135ACD663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BAD-AD48-8C0D-73135ACD6630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CBAD-AD48-8C0D-73135ACD6630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B79-724A-AB6E-048CA154099D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CBAD-AD48-8C0D-73135ACD6630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CBAD-AD48-8C0D-73135ACD6630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CBAD-AD48-8C0D-73135ACD6630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CBAD-AD48-8C0D-73135ACD6630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lumOff val="4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lumOff val="4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CBAD-AD48-8C0D-73135ACD6630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lumOff val="4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lumOff val="4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CBAD-AD48-8C0D-73135ACD6630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lumOff val="4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lumOff val="4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CBAD-AD48-8C0D-73135ACD6630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5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5B79-724A-AB6E-048CA154099D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5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B79-724A-AB6E-048CA154099D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5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B79-724A-AB6E-048CA154099D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70000"/>
                      <a:lumOff val="3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70000"/>
                      <a:lumOff val="3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5B79-724A-AB6E-048CA154099D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70000"/>
                      <a:lumOff val="3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70000"/>
                      <a:lumOff val="3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B79-724A-AB6E-048CA154099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5B79-724A-AB6E-048CA154099D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5B79-724A-AB6E-048CA154099D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5B79-724A-AB6E-048CA154099D}"/>
                </c:ext>
              </c:extLst>
            </c:dLbl>
            <c:dLbl>
              <c:idx val="16"/>
              <c:layout>
                <c:manualLayout>
                  <c:x val="-1.3139152097513235E-2"/>
                  <c:y val="5.917035585144131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B79-724A-AB6E-048CA154099D}"/>
                </c:ext>
              </c:extLst>
            </c:dLbl>
            <c:dLbl>
              <c:idx val="17"/>
              <c:layout>
                <c:manualLayout>
                  <c:x val="-1.3803772409804706E-2"/>
                  <c:y val="-5.770504545300936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521175319186796"/>
                      <c:h val="0.122918454935622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5B79-724A-AB6E-048CA154099D}"/>
                </c:ext>
              </c:extLst>
            </c:dLbl>
            <c:dLbl>
              <c:idx val="18"/>
              <c:layout>
                <c:manualLayout>
                  <c:x val="0.15677966101694915"/>
                  <c:y val="8.3082694062383833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076271186440678"/>
                      <c:h val="0.1437768240343347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5B79-724A-AB6E-048CA154099D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5B79-724A-AB6E-048CA15409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Dashboard!$L$4:$L$23</c:f>
              <c:strCache>
                <c:ptCount val="20"/>
                <c:pt idx="0">
                  <c:v> Core </c:v>
                </c:pt>
                <c:pt idx="7">
                  <c:v> Growth </c:v>
                </c:pt>
                <c:pt idx="15">
                  <c:v> Income </c:v>
                </c:pt>
                <c:pt idx="16">
                  <c:v> Theme </c:v>
                </c:pt>
                <c:pt idx="17">
                  <c:v> Insurance </c:v>
                </c:pt>
                <c:pt idx="18">
                  <c:v> Gold </c:v>
                </c:pt>
                <c:pt idx="19">
                  <c:v> Cash </c:v>
                </c:pt>
              </c:strCache>
            </c:strRef>
          </c:cat>
          <c:val>
            <c:numRef>
              <c:f>Dashboard!$M$4:$M$23</c:f>
              <c:numCache>
                <c:formatCode>0.0%</c:formatCode>
                <c:ptCount val="20"/>
                <c:pt idx="0">
                  <c:v>0.38638868435342177</c:v>
                </c:pt>
                <c:pt idx="7">
                  <c:v>0.11197231194003855</c:v>
                </c:pt>
                <c:pt idx="15">
                  <c:v>9.7569357150532832E-2</c:v>
                </c:pt>
                <c:pt idx="16">
                  <c:v>4.2618021323062499E-2</c:v>
                </c:pt>
                <c:pt idx="17">
                  <c:v>1.799204590288422E-2</c:v>
                </c:pt>
                <c:pt idx="18">
                  <c:v>8.5193472176679899E-2</c:v>
                </c:pt>
                <c:pt idx="19">
                  <c:v>0.25826610715338028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79-724A-AB6E-048CA154099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146050</xdr:colOff>
      <xdr:row>24</xdr:row>
      <xdr:rowOff>101600</xdr:rowOff>
    </xdr:from>
    <xdr:to>
      <xdr:col>5</xdr:col>
      <xdr:colOff>1219200</xdr:colOff>
      <xdr:row>48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7F781D2-B9A2-D72A-0057-2784E88FEC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88900</xdr:colOff>
      <xdr:row>24</xdr:row>
      <xdr:rowOff>88900</xdr:rowOff>
    </xdr:from>
    <xdr:to>
      <xdr:col>9</xdr:col>
      <xdr:colOff>12700</xdr:colOff>
      <xdr:row>38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697EC8-4EFA-6C90-F231-0485031FE2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127000</xdr:colOff>
      <xdr:row>24</xdr:row>
      <xdr:rowOff>88900</xdr:rowOff>
    </xdr:from>
    <xdr:to>
      <xdr:col>11</xdr:col>
      <xdr:colOff>723900</xdr:colOff>
      <xdr:row>38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25DA06-7701-0962-2EB5-AF549B736A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838200</xdr:colOff>
      <xdr:row>24</xdr:row>
      <xdr:rowOff>76200</xdr:rowOff>
    </xdr:from>
    <xdr:to>
      <xdr:col>15</xdr:col>
      <xdr:colOff>1435100</xdr:colOff>
      <xdr:row>38</xdr:row>
      <xdr:rowOff>190500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48D7753-1E15-54B3-C615-05E9F6A133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ongkiatkoh/Developer/timeless-workspace/projects/fetch-ibkr-positions.xlsx" TargetMode="External"/><Relationship Id="rId1" Type="http://schemas.openxmlformats.org/officeDocument/2006/relationships/externalLinkPath" Target="fetch-ibkr-posi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sitionsHK"/>
      <sheetName val="PositionsAL"/>
      <sheetName val="Summary"/>
      <sheetName val="Metadata"/>
    </sheetNames>
    <sheetDataSet>
      <sheetData sheetId="0">
        <row r="1">
          <cell r="D1" t="str">
            <v>AssetClass</v>
          </cell>
          <cell r="F1" t="str">
            <v>Symbol</v>
          </cell>
          <cell r="V1" t="str">
            <v>PositionValueUSD</v>
          </cell>
        </row>
        <row r="2">
          <cell r="D2" t="str">
            <v>STK</v>
          </cell>
          <cell r="F2" t="str">
            <v>EQCH</v>
          </cell>
          <cell r="V2">
            <v>19729.850399999999</v>
          </cell>
        </row>
        <row r="3">
          <cell r="D3" t="str">
            <v>STK</v>
          </cell>
          <cell r="F3" t="str">
            <v>XMME</v>
          </cell>
          <cell r="V3">
            <v>19633.185000000001</v>
          </cell>
        </row>
        <row r="4">
          <cell r="D4" t="str">
            <v>STK</v>
          </cell>
          <cell r="F4" t="str">
            <v>82846</v>
          </cell>
          <cell r="V4">
            <v>13648.848</v>
          </cell>
        </row>
        <row r="5">
          <cell r="D5" t="str">
            <v>STK</v>
          </cell>
          <cell r="F5" t="str">
            <v>CBUK</v>
          </cell>
          <cell r="V5">
            <v>9923.6563999999998</v>
          </cell>
        </row>
        <row r="6">
          <cell r="D6" t="str">
            <v>STK</v>
          </cell>
          <cell r="F6" t="str">
            <v>HY9H</v>
          </cell>
          <cell r="V6">
            <v>9110.7659999999996</v>
          </cell>
        </row>
        <row r="7">
          <cell r="D7" t="str">
            <v>STK</v>
          </cell>
          <cell r="F7" t="str">
            <v>ES3</v>
          </cell>
          <cell r="V7">
            <v>30137.952000000001</v>
          </cell>
        </row>
        <row r="8">
          <cell r="D8" t="str">
            <v>STK</v>
          </cell>
          <cell r="F8" t="str">
            <v>GSD</v>
          </cell>
          <cell r="V8">
            <v>34973.205000000002</v>
          </cell>
        </row>
        <row r="9">
          <cell r="D9" t="str">
            <v>STK</v>
          </cell>
          <cell r="F9" t="str">
            <v>9807</v>
          </cell>
          <cell r="V9">
            <v>7735</v>
          </cell>
        </row>
        <row r="10">
          <cell r="D10" t="str">
            <v>STK</v>
          </cell>
          <cell r="F10" t="str">
            <v>AEM</v>
          </cell>
          <cell r="V10">
            <v>6226.2</v>
          </cell>
        </row>
        <row r="11">
          <cell r="D11" t="str">
            <v>STK</v>
          </cell>
          <cell r="F11" t="str">
            <v>BITO</v>
          </cell>
          <cell r="V11">
            <v>980</v>
          </cell>
        </row>
        <row r="12">
          <cell r="D12" t="str">
            <v>STK</v>
          </cell>
          <cell r="F12" t="str">
            <v>GOOGL</v>
          </cell>
          <cell r="V12">
            <v>30228</v>
          </cell>
        </row>
        <row r="13">
          <cell r="D13" t="str">
            <v>STK</v>
          </cell>
          <cell r="F13" t="str">
            <v>GRDU</v>
          </cell>
          <cell r="V13">
            <v>9113.6</v>
          </cell>
        </row>
        <row r="14">
          <cell r="D14" t="str">
            <v>STK</v>
          </cell>
          <cell r="F14" t="str">
            <v>INRA</v>
          </cell>
          <cell r="V14">
            <v>10435.35</v>
          </cell>
        </row>
        <row r="15">
          <cell r="D15" t="str">
            <v>STK</v>
          </cell>
          <cell r="F15" t="str">
            <v>ORCL</v>
          </cell>
          <cell r="V15">
            <v>10857.7</v>
          </cell>
        </row>
        <row r="16">
          <cell r="D16" t="str">
            <v>STK</v>
          </cell>
          <cell r="F16" t="str">
            <v>SE</v>
          </cell>
          <cell r="V16">
            <v>1720</v>
          </cell>
        </row>
        <row r="17">
          <cell r="D17" t="str">
            <v>STK</v>
          </cell>
          <cell r="F17" t="str">
            <v>VWRA</v>
          </cell>
          <cell r="V17">
            <v>83910</v>
          </cell>
        </row>
        <row r="18">
          <cell r="D18" t="str">
            <v>OPT</v>
          </cell>
          <cell r="F18" t="str">
            <v>AAPL  260327C00290000</v>
          </cell>
          <cell r="V18">
            <v>2.5499999999999998</v>
          </cell>
        </row>
        <row r="19">
          <cell r="D19" t="str">
            <v>OPT</v>
          </cell>
          <cell r="F19" t="str">
            <v>MSFT  260327C00420000</v>
          </cell>
          <cell r="V19">
            <v>123.5</v>
          </cell>
        </row>
        <row r="20">
          <cell r="D20" t="str">
            <v>OPT</v>
          </cell>
          <cell r="F20" t="str">
            <v>QQQ   261218P00560000</v>
          </cell>
          <cell r="V20">
            <v>6825</v>
          </cell>
        </row>
        <row r="21">
          <cell r="D21" t="str">
            <v>OPT</v>
          </cell>
          <cell r="F21" t="str">
            <v>SPY   261218P00620000</v>
          </cell>
          <cell r="V21">
            <v>5974</v>
          </cell>
        </row>
        <row r="22">
          <cell r="D22" t="str">
            <v>OPT</v>
          </cell>
          <cell r="F22" t="str">
            <v>AAPL  260327P00250000</v>
          </cell>
          <cell r="V22">
            <v>-575</v>
          </cell>
        </row>
        <row r="23">
          <cell r="D23" t="str">
            <v>OPT</v>
          </cell>
          <cell r="F23" t="str">
            <v>AAPL  260327C00285000</v>
          </cell>
          <cell r="V23">
            <v>-5.42</v>
          </cell>
        </row>
        <row r="24">
          <cell r="D24" t="str">
            <v>OPT</v>
          </cell>
          <cell r="F24" t="str">
            <v>AMD   260327P00185000</v>
          </cell>
          <cell r="V24">
            <v>-507.5</v>
          </cell>
        </row>
        <row r="25">
          <cell r="D25" t="str">
            <v>OPT</v>
          </cell>
          <cell r="F25" t="str">
            <v>AMZN  260327P00190000</v>
          </cell>
          <cell r="V25">
            <v>-135</v>
          </cell>
        </row>
        <row r="26">
          <cell r="D26" t="str">
            <v>OPT</v>
          </cell>
          <cell r="F26" t="str">
            <v>AMZN  260327C00235000</v>
          </cell>
          <cell r="V26">
            <v>-15.5</v>
          </cell>
        </row>
        <row r="27">
          <cell r="D27" t="str">
            <v>OPT</v>
          </cell>
          <cell r="F27" t="str">
            <v>GOOGL 260327P00295000</v>
          </cell>
          <cell r="V27">
            <v>-965</v>
          </cell>
        </row>
        <row r="28">
          <cell r="D28" t="str">
            <v>OPT</v>
          </cell>
          <cell r="F28" t="str">
            <v>GOOGL 260327C00315000</v>
          </cell>
          <cell r="V28">
            <v>-263.5</v>
          </cell>
        </row>
        <row r="29">
          <cell r="D29" t="str">
            <v>OPT</v>
          </cell>
          <cell r="F29" t="str">
            <v>MSFT  260327P00360000</v>
          </cell>
          <cell r="V29">
            <v>-122</v>
          </cell>
        </row>
        <row r="30">
          <cell r="D30" t="str">
            <v>OPT</v>
          </cell>
          <cell r="F30" t="str">
            <v>MSFT  260327C00415000</v>
          </cell>
          <cell r="V30">
            <v>-202</v>
          </cell>
        </row>
        <row r="31">
          <cell r="D31" t="str">
            <v>OPT</v>
          </cell>
          <cell r="F31" t="str">
            <v>NFLX  260327P00088000</v>
          </cell>
          <cell r="V31">
            <v>-110</v>
          </cell>
        </row>
        <row r="32">
          <cell r="D32" t="str">
            <v>OPT</v>
          </cell>
          <cell r="F32" t="str">
            <v>QQQ   261218P00425000</v>
          </cell>
          <cell r="V32">
            <v>-1939.08</v>
          </cell>
        </row>
        <row r="33">
          <cell r="D33" t="str">
            <v>OPT</v>
          </cell>
          <cell r="F33" t="str">
            <v>SPY   261218P00505000</v>
          </cell>
          <cell r="V33">
            <v>-2159</v>
          </cell>
        </row>
      </sheetData>
      <sheetData sheetId="1">
        <row r="1">
          <cell r="D1" t="str">
            <v>AssetClass</v>
          </cell>
          <cell r="F1" t="str">
            <v>Symbol</v>
          </cell>
          <cell r="V1" t="str">
            <v>PositionValueUSD</v>
          </cell>
        </row>
        <row r="2">
          <cell r="D2" t="str">
            <v>STK</v>
          </cell>
          <cell r="F2" t="str">
            <v>EQCH</v>
          </cell>
          <cell r="V2">
            <v>24662.312999999998</v>
          </cell>
        </row>
        <row r="3">
          <cell r="D3" t="str">
            <v>STK</v>
          </cell>
          <cell r="F3" t="str">
            <v>XMME</v>
          </cell>
          <cell r="V3">
            <v>27486.458999999999</v>
          </cell>
        </row>
        <row r="4">
          <cell r="D4" t="str">
            <v>STK</v>
          </cell>
          <cell r="F4" t="str">
            <v>82846</v>
          </cell>
          <cell r="V4">
            <v>9099.232</v>
          </cell>
        </row>
        <row r="5">
          <cell r="D5" t="str">
            <v>STK</v>
          </cell>
          <cell r="F5" t="str">
            <v>CBUK</v>
          </cell>
          <cell r="V5">
            <v>14885.4846</v>
          </cell>
        </row>
        <row r="6">
          <cell r="D6" t="str">
            <v>STK</v>
          </cell>
          <cell r="F6" t="str">
            <v>DHL</v>
          </cell>
          <cell r="V6">
            <v>51433.584999999999</v>
          </cell>
        </row>
        <row r="7">
          <cell r="D7" t="str">
            <v>STK</v>
          </cell>
          <cell r="F7" t="str">
            <v>HY9H</v>
          </cell>
          <cell r="V7">
            <v>9110.7659999999996</v>
          </cell>
        </row>
        <row r="8">
          <cell r="D8" t="str">
            <v>STK</v>
          </cell>
          <cell r="F8" t="str">
            <v>ES3</v>
          </cell>
          <cell r="V8">
            <v>37672.44</v>
          </cell>
        </row>
        <row r="9">
          <cell r="D9" t="str">
            <v>STK</v>
          </cell>
          <cell r="F9" t="str">
            <v>GSD</v>
          </cell>
          <cell r="V9">
            <v>34973.205000000002</v>
          </cell>
        </row>
        <row r="10">
          <cell r="D10" t="str">
            <v>STK</v>
          </cell>
          <cell r="F10" t="str">
            <v>9807</v>
          </cell>
          <cell r="V10">
            <v>8508.5</v>
          </cell>
        </row>
        <row r="11">
          <cell r="D11" t="str">
            <v>STK</v>
          </cell>
          <cell r="F11" t="str">
            <v>AEM</v>
          </cell>
          <cell r="V11">
            <v>6226.2</v>
          </cell>
        </row>
        <row r="12">
          <cell r="D12" t="str">
            <v>STK</v>
          </cell>
          <cell r="F12" t="str">
            <v>BITO</v>
          </cell>
          <cell r="V12">
            <v>2940</v>
          </cell>
        </row>
        <row r="13">
          <cell r="D13" t="str">
            <v>STK</v>
          </cell>
          <cell r="F13" t="str">
            <v>GOOGL</v>
          </cell>
          <cell r="V13">
            <v>30228</v>
          </cell>
        </row>
        <row r="14">
          <cell r="D14" t="str">
            <v>STK</v>
          </cell>
          <cell r="F14" t="str">
            <v>GRDU</v>
          </cell>
          <cell r="V14">
            <v>9113.6</v>
          </cell>
        </row>
        <row r="15">
          <cell r="D15" t="str">
            <v>STK</v>
          </cell>
          <cell r="F15" t="str">
            <v>IBKR</v>
          </cell>
          <cell r="V15">
            <v>1114.96</v>
          </cell>
        </row>
        <row r="16">
          <cell r="D16" t="str">
            <v>STK</v>
          </cell>
          <cell r="F16" t="str">
            <v>INRA</v>
          </cell>
          <cell r="V16">
            <v>10435.35</v>
          </cell>
        </row>
        <row r="17">
          <cell r="D17" t="str">
            <v>STK</v>
          </cell>
          <cell r="F17" t="str">
            <v>JPM</v>
          </cell>
          <cell r="V17">
            <v>28344</v>
          </cell>
        </row>
        <row r="18">
          <cell r="D18" t="str">
            <v>STK</v>
          </cell>
          <cell r="F18" t="str">
            <v>VWRA</v>
          </cell>
          <cell r="V18">
            <v>100692</v>
          </cell>
        </row>
        <row r="19">
          <cell r="D19" t="str">
            <v>OPT</v>
          </cell>
          <cell r="F19" t="str">
            <v>AAPL  260327C00290000</v>
          </cell>
          <cell r="V19">
            <v>2.5499999999999998</v>
          </cell>
        </row>
        <row r="20">
          <cell r="D20" t="str">
            <v>OPT</v>
          </cell>
          <cell r="F20" t="str">
            <v>NFLX  260327C00085000</v>
          </cell>
          <cell r="V20">
            <v>1077.6400000000001</v>
          </cell>
        </row>
        <row r="21">
          <cell r="D21" t="str">
            <v>OPT</v>
          </cell>
          <cell r="F21" t="str">
            <v>QQQ   261218P00560000</v>
          </cell>
          <cell r="V21">
            <v>6825</v>
          </cell>
        </row>
        <row r="22">
          <cell r="D22" t="str">
            <v>OPT</v>
          </cell>
          <cell r="F22" t="str">
            <v>SPY   261218P00620000</v>
          </cell>
          <cell r="V22">
            <v>5974</v>
          </cell>
        </row>
        <row r="23">
          <cell r="D23" t="str">
            <v>OPT</v>
          </cell>
          <cell r="F23" t="str">
            <v>AAPL  260327P00250000</v>
          </cell>
          <cell r="V23">
            <v>-575</v>
          </cell>
        </row>
        <row r="24">
          <cell r="D24" t="str">
            <v>OPT</v>
          </cell>
          <cell r="F24" t="str">
            <v>AAPL  260327C00285000</v>
          </cell>
          <cell r="V24">
            <v>-5.42</v>
          </cell>
        </row>
        <row r="25">
          <cell r="D25" t="str">
            <v>OPT</v>
          </cell>
          <cell r="F25" t="str">
            <v>AMD   260327P00185000</v>
          </cell>
          <cell r="V25">
            <v>-507.5</v>
          </cell>
        </row>
        <row r="26">
          <cell r="D26" t="str">
            <v>OPT</v>
          </cell>
          <cell r="F26" t="str">
            <v>AMD   260327C00255000</v>
          </cell>
          <cell r="V26">
            <v>-6.5</v>
          </cell>
        </row>
        <row r="27">
          <cell r="D27" t="str">
            <v>OPT</v>
          </cell>
          <cell r="F27" t="str">
            <v>AMZN  260327P00190000</v>
          </cell>
          <cell r="V27">
            <v>-135</v>
          </cell>
        </row>
        <row r="28">
          <cell r="D28" t="str">
            <v>OPT</v>
          </cell>
          <cell r="F28" t="str">
            <v>GOOGL 260327P00295000</v>
          </cell>
          <cell r="V28">
            <v>-482.5</v>
          </cell>
        </row>
        <row r="29">
          <cell r="D29" t="str">
            <v>OPT</v>
          </cell>
          <cell r="F29" t="str">
            <v>GOOGL 260327C00315000</v>
          </cell>
          <cell r="V29">
            <v>-263.5</v>
          </cell>
        </row>
        <row r="30">
          <cell r="D30" t="str">
            <v>OPT</v>
          </cell>
          <cell r="F30" t="str">
            <v>JPM   260327C00297500</v>
          </cell>
          <cell r="V30">
            <v>-226</v>
          </cell>
        </row>
        <row r="31">
          <cell r="D31" t="str">
            <v>OPT</v>
          </cell>
          <cell r="F31" t="str">
            <v>MSFT  260327P00360000</v>
          </cell>
          <cell r="V31">
            <v>-122</v>
          </cell>
        </row>
        <row r="32">
          <cell r="D32" t="str">
            <v>OPT</v>
          </cell>
          <cell r="F32" t="str">
            <v>NFLX  260327P00072000</v>
          </cell>
          <cell r="V32">
            <v>-2.89</v>
          </cell>
        </row>
        <row r="33">
          <cell r="D33" t="str">
            <v>OPT</v>
          </cell>
          <cell r="F33" t="str">
            <v>NFLX  260327C00083000</v>
          </cell>
          <cell r="V33">
            <v>-1267.99</v>
          </cell>
        </row>
        <row r="34">
          <cell r="D34" t="str">
            <v>OPT</v>
          </cell>
          <cell r="F34" t="str">
            <v>QQQ   261218P00425000</v>
          </cell>
          <cell r="V34">
            <v>-1939.08</v>
          </cell>
        </row>
        <row r="35">
          <cell r="D35" t="str">
            <v>OPT</v>
          </cell>
          <cell r="F35" t="str">
            <v>SPY   261218P00505000</v>
          </cell>
          <cell r="V35">
            <v>-2159</v>
          </cell>
        </row>
      </sheetData>
      <sheetData sheetId="2">
        <row r="2">
          <cell r="C2" t="str">
            <v>$124,994.03</v>
          </cell>
        </row>
        <row r="3">
          <cell r="C3" t="str">
            <v>$124,799.99</v>
          </cell>
        </row>
      </sheetData>
      <sheetData sheetId="3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197A906-D222-4646-85E1-94A327E8C6E2}" autoFormatId="16" applyNumberFormats="0" applyBorderFormats="0" applyFontFormats="0" applyPatternFormats="0" applyAlignmentFormats="0" applyWidthHeightFormats="0">
  <queryTableRefresh nextId="3">
    <queryTableFields count="2">
      <queryTableField id="1" name="CurrencyPrimary" tableColumnId="1"/>
      <queryTableField id="2" name="Total Value USD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B6ABF8-99C7-D448-B31B-76226AD3E31D}" name="Query__2" displayName="Query__2" ref="J41:K46" tableType="queryTable" totalsRowShown="0" headerRowDxfId="21">
  <autoFilter ref="J41:K46" xr:uid="{D0B6ABF8-99C7-D448-B31B-76226AD3E31D}"/>
  <tableColumns count="2">
    <tableColumn id="1" xr3:uid="{7DA33D05-B373-C040-923A-8735B8E52F38}" uniqueName="1" name="CurrencyPrimary" queryTableFieldId="1"/>
    <tableColumn id="2" xr3:uid="{6E5A9362-71B1-D549-A253-709ADB40623F}" uniqueName="2" name="Total Value USD" queryTableFieldId="2" dataDxfId="2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8"/>
  <sheetViews>
    <sheetView showGridLines="0" tabSelected="1" zoomScaleNormal="100" workbookViewId="0">
      <selection activeCell="F13" sqref="F13"/>
    </sheetView>
  </sheetViews>
  <sheetFormatPr baseColWidth="10" defaultColWidth="38.6640625" defaultRowHeight="16" x14ac:dyDescent="0.2"/>
  <cols>
    <col min="1" max="1" width="61.83203125" style="1" bestFit="1" customWidth="1"/>
    <col min="2" max="2" width="10.5" style="1" bestFit="1" customWidth="1"/>
    <col min="3" max="3" width="9.5" style="1" bestFit="1" customWidth="1"/>
    <col min="4" max="4" width="12.83203125" style="1" bestFit="1" customWidth="1"/>
    <col min="5" max="6" width="16.5" style="1" bestFit="1" customWidth="1"/>
    <col min="7" max="7" width="11.6640625" style="1" bestFit="1" customWidth="1"/>
    <col min="8" max="9" width="16.5" style="1" bestFit="1" customWidth="1"/>
    <col min="10" max="10" width="17" style="1" customWidth="1"/>
    <col min="11" max="11" width="15.5" style="1" bestFit="1" customWidth="1"/>
    <col min="12" max="12" width="14" style="1" bestFit="1" customWidth="1"/>
    <col min="13" max="13" width="11.6640625" style="1" bestFit="1" customWidth="1"/>
    <col min="14" max="14" width="12.83203125" style="1" bestFit="1" customWidth="1"/>
    <col min="15" max="15" width="4.6640625" style="1" bestFit="1" customWidth="1"/>
    <col min="16" max="16384" width="38.6640625" style="1"/>
  </cols>
  <sheetData>
    <row r="1" spans="1:15" x14ac:dyDescent="0.2">
      <c r="A1" s="33"/>
      <c r="E1" s="20" t="s">
        <v>0</v>
      </c>
      <c r="G1" s="27"/>
      <c r="H1" s="20" t="s">
        <v>1</v>
      </c>
      <c r="J1" s="27"/>
      <c r="K1" s="37"/>
      <c r="L1" s="37"/>
      <c r="M1" s="27"/>
      <c r="O1" s="27"/>
    </row>
    <row r="2" spans="1:15" x14ac:dyDescent="0.2">
      <c r="A2" s="33" t="s">
        <v>2</v>
      </c>
      <c r="C2" s="8">
        <v>1</v>
      </c>
      <c r="E2" s="21">
        <f>F4+F11+F19+F22+F23+F20+F21</f>
        <v>429283.39280000009</v>
      </c>
      <c r="F2" s="22"/>
      <c r="G2" s="28"/>
      <c r="H2" s="21">
        <f>I4+I11+I19+I22+I23+I20+I21</f>
        <v>537912.8946</v>
      </c>
      <c r="I2" s="22"/>
      <c r="J2" s="28"/>
      <c r="K2" s="37"/>
      <c r="L2" s="37"/>
      <c r="M2" s="27"/>
      <c r="O2" s="27"/>
    </row>
    <row r="3" spans="1:15" x14ac:dyDescent="0.2">
      <c r="A3" s="34" t="s">
        <v>3</v>
      </c>
      <c r="B3" s="41" t="s">
        <v>124</v>
      </c>
      <c r="C3" s="10" t="s">
        <v>4</v>
      </c>
      <c r="D3" s="10" t="s">
        <v>5</v>
      </c>
      <c r="E3" s="23" t="s">
        <v>5</v>
      </c>
      <c r="F3" s="10" t="s">
        <v>119</v>
      </c>
      <c r="G3" s="29" t="s">
        <v>123</v>
      </c>
      <c r="H3" s="23" t="s">
        <v>5</v>
      </c>
      <c r="I3" s="10" t="s">
        <v>119</v>
      </c>
      <c r="J3" s="29" t="s">
        <v>7</v>
      </c>
      <c r="K3" s="23" t="s">
        <v>6</v>
      </c>
      <c r="L3" s="64" t="s">
        <v>180</v>
      </c>
      <c r="M3" s="65"/>
      <c r="N3" s="64" t="s">
        <v>124</v>
      </c>
      <c r="O3" s="65"/>
    </row>
    <row r="4" spans="1:15" x14ac:dyDescent="0.2">
      <c r="A4" s="35" t="s">
        <v>126</v>
      </c>
      <c r="B4" s="42"/>
      <c r="C4" s="43">
        <v>0.4</v>
      </c>
      <c r="D4" s="18">
        <f>$G$42*C4</f>
        <v>386878.51496000006</v>
      </c>
      <c r="E4" s="24">
        <f>$E$2*C4</f>
        <v>171713.35712000006</v>
      </c>
      <c r="F4" s="18" cm="1">
        <f t="array" ref="F4">SUMPRODUCT(SUMIFS([1]PositionsHK!V:V,[1]PositionsHK!F:F,GlobalETF!A:A))</f>
        <v>147329.98500000002</v>
      </c>
      <c r="G4" s="30">
        <f>F4/E4</f>
        <v>0.85799956084394768</v>
      </c>
      <c r="H4" s="24">
        <f>$H$2*C4</f>
        <v>215165.15784</v>
      </c>
      <c r="I4" s="18" cm="1">
        <f t="array" ref="I4">SUMPRODUCT(SUMIFS([1]PositionsAL!V:V,[1]PositionsAL!F:F,GlobalETF!A:A))</f>
        <v>226383.71599999999</v>
      </c>
      <c r="J4" s="30">
        <f>I4/H4</f>
        <v>1.0521392881292717</v>
      </c>
      <c r="K4" s="38">
        <f t="shared" ref="K4" si="0">F4+I4</f>
        <v>373713.701</v>
      </c>
      <c r="L4" s="50" t="s">
        <v>182</v>
      </c>
      <c r="M4" s="47">
        <f t="shared" ref="M4:M21" si="1">K4/$G$42</f>
        <v>0.38638868435342177</v>
      </c>
      <c r="N4" s="59"/>
      <c r="O4" s="60"/>
    </row>
    <row r="5" spans="1:15" x14ac:dyDescent="0.2">
      <c r="A5" s="66" t="s">
        <v>194</v>
      </c>
      <c r="B5" s="42" t="s">
        <v>10</v>
      </c>
      <c r="C5" s="55">
        <v>0.05</v>
      </c>
      <c r="D5" s="19">
        <f>$D$4*C5</f>
        <v>19343.925748000005</v>
      </c>
      <c r="E5" s="25">
        <f>$E$4*C5</f>
        <v>8585.6678560000037</v>
      </c>
      <c r="F5" s="19">
        <f>SUMIFS([1]PositionsHK!V:V,[1]PositionsHK!F:F,"82846")</f>
        <v>13648.848</v>
      </c>
      <c r="G5" s="31">
        <f>F5/E5</f>
        <v>1.5897246701037528</v>
      </c>
      <c r="H5" s="25">
        <f>$H$4*C5</f>
        <v>10758.257892000001</v>
      </c>
      <c r="I5" s="19">
        <f>SUMIFS([1]PositionsAL!V:V,[1]PositionsAL!F:F,"82846")</f>
        <v>9099.232</v>
      </c>
      <c r="J5" s="31">
        <f>I5/H5</f>
        <v>0.84579047010634711</v>
      </c>
      <c r="K5" s="39">
        <f t="shared" ref="K5:K7" si="2">F5+I5</f>
        <v>22748.080000000002</v>
      </c>
      <c r="L5" s="51"/>
      <c r="M5" s="48"/>
      <c r="N5" s="63">
        <f>K5</f>
        <v>22748.080000000002</v>
      </c>
      <c r="O5" s="27" t="str">
        <f>B5</f>
        <v>CNY</v>
      </c>
    </row>
    <row r="6" spans="1:15" x14ac:dyDescent="0.2">
      <c r="A6" s="66" t="s">
        <v>117</v>
      </c>
      <c r="B6" s="42" t="s">
        <v>12</v>
      </c>
      <c r="C6" s="57">
        <v>0.05</v>
      </c>
      <c r="D6" s="19">
        <f t="shared" ref="D6:D10" si="3">$D$4*C6</f>
        <v>19343.925748000005</v>
      </c>
      <c r="E6" s="25">
        <f t="shared" ref="E6:E10" si="4">$E$4*C6</f>
        <v>8585.6678560000037</v>
      </c>
      <c r="F6" s="19">
        <f>SUMIFS([1]PositionsHK!V:V,[1]PositionsHK!F:F,"DHL")</f>
        <v>0</v>
      </c>
      <c r="G6" s="31">
        <f t="shared" ref="G6:G7" si="5">F6/E6</f>
        <v>0</v>
      </c>
      <c r="H6" s="25">
        <f t="shared" ref="H6:H10" si="6">$H$4*C6</f>
        <v>10758.257892000001</v>
      </c>
      <c r="I6" s="19">
        <f>SUMIFS([1]PositionsAL!V:V,[1]PositionsAL!F:F,"DHL")</f>
        <v>51433.584999999999</v>
      </c>
      <c r="J6" s="31">
        <f t="shared" ref="J6:J7" si="7">I6/H6</f>
        <v>4.780847002956377</v>
      </c>
      <c r="K6" s="39">
        <f t="shared" si="2"/>
        <v>51433.584999999999</v>
      </c>
      <c r="L6" s="51"/>
      <c r="M6" s="48"/>
      <c r="N6" s="63">
        <f t="shared" ref="N6:N10" si="8">K6</f>
        <v>51433.584999999999</v>
      </c>
      <c r="O6" s="27" t="str">
        <f t="shared" ref="O6:O10" si="9">B6</f>
        <v>EUR</v>
      </c>
    </row>
    <row r="7" spans="1:15" x14ac:dyDescent="0.2">
      <c r="A7" s="66" t="s">
        <v>118</v>
      </c>
      <c r="B7" s="42" t="s">
        <v>14</v>
      </c>
      <c r="C7" s="57">
        <v>0.05</v>
      </c>
      <c r="D7" s="19">
        <f t="shared" si="3"/>
        <v>19343.925748000005</v>
      </c>
      <c r="E7" s="25">
        <f t="shared" si="4"/>
        <v>8585.6678560000037</v>
      </c>
      <c r="F7" s="19">
        <f>SUMIFS([1]PositionsHK!V:V,[1]PositionsHK!F:F,"ES3")</f>
        <v>30137.952000000001</v>
      </c>
      <c r="G7" s="31">
        <f t="shared" si="5"/>
        <v>3.5102629760989892</v>
      </c>
      <c r="H7" s="25">
        <f t="shared" si="6"/>
        <v>10758.257892000001</v>
      </c>
      <c r="I7" s="19">
        <f>SUMIFS([1]PositionsAL!V:V,[1]PositionsAL!F:F,"ES3")</f>
        <v>37672.44</v>
      </c>
      <c r="J7" s="31">
        <f t="shared" si="7"/>
        <v>3.5017230836243276</v>
      </c>
      <c r="K7" s="39">
        <f t="shared" si="2"/>
        <v>67810.392000000007</v>
      </c>
      <c r="L7" s="51"/>
      <c r="M7" s="48"/>
      <c r="N7" s="63">
        <f t="shared" si="8"/>
        <v>67810.392000000007</v>
      </c>
      <c r="O7" s="27" t="str">
        <f t="shared" si="9"/>
        <v>SGD</v>
      </c>
    </row>
    <row r="8" spans="1:15" x14ac:dyDescent="0.2">
      <c r="A8" s="66" t="s">
        <v>198</v>
      </c>
      <c r="B8" s="42" t="s">
        <v>16</v>
      </c>
      <c r="C8" s="55">
        <v>0.75</v>
      </c>
      <c r="D8" s="19">
        <f t="shared" si="3"/>
        <v>290158.88622000004</v>
      </c>
      <c r="E8" s="25">
        <f t="shared" si="4"/>
        <v>128785.01784000004</v>
      </c>
      <c r="F8" s="19">
        <f>SUMIFS([1]PositionsHK!V:V,[1]PositionsHK!F:F,"VWRA")</f>
        <v>83910</v>
      </c>
      <c r="G8" s="31">
        <f>F8/E8</f>
        <v>0.65155094441379913</v>
      </c>
      <c r="H8" s="25">
        <f t="shared" si="6"/>
        <v>161373.86838</v>
      </c>
      <c r="I8" s="19">
        <f>SUMIFS([1]PositionsAL!V:V,[1]PositionsAL!F:F,"VWRA")</f>
        <v>100692</v>
      </c>
      <c r="J8" s="31">
        <f t="shared" ref="J8:J17" si="10">I8/H8</f>
        <v>0.62396719500391762</v>
      </c>
      <c r="K8" s="39">
        <f t="shared" ref="K8:K17" si="11">F8+I8</f>
        <v>184602</v>
      </c>
      <c r="L8" s="51"/>
      <c r="M8" s="48"/>
      <c r="N8" s="63">
        <f t="shared" si="8"/>
        <v>184602</v>
      </c>
      <c r="O8" s="27" t="str">
        <f t="shared" si="9"/>
        <v>USD</v>
      </c>
    </row>
    <row r="9" spans="1:15" x14ac:dyDescent="0.2">
      <c r="A9" s="36"/>
      <c r="B9" s="42"/>
      <c r="C9" s="55"/>
      <c r="D9" s="19"/>
      <c r="E9" s="25"/>
      <c r="F9" s="19"/>
      <c r="G9" s="31"/>
      <c r="H9" s="25"/>
      <c r="I9" s="19"/>
      <c r="J9" s="31"/>
      <c r="K9" s="39"/>
      <c r="L9" s="51"/>
      <c r="M9" s="48"/>
      <c r="N9" s="63"/>
      <c r="O9" s="27"/>
    </row>
    <row r="10" spans="1:15" x14ac:dyDescent="0.2">
      <c r="A10" s="36" t="s">
        <v>193</v>
      </c>
      <c r="B10" s="42" t="s">
        <v>125</v>
      </c>
      <c r="C10" s="55">
        <v>0.1</v>
      </c>
      <c r="D10" s="19">
        <f t="shared" si="3"/>
        <v>38687.85149600001</v>
      </c>
      <c r="E10" s="25">
        <f t="shared" si="4"/>
        <v>17171.335712000007</v>
      </c>
      <c r="F10" s="19">
        <f>SUMIFS([1]PositionsHK!V:V,[1]PositionsHK!F:F,"XMME")</f>
        <v>19633.185000000001</v>
      </c>
      <c r="G10" s="31">
        <f>F10/E10</f>
        <v>1.1433697022346117</v>
      </c>
      <c r="H10" s="25">
        <f t="shared" si="6"/>
        <v>21516.515784000003</v>
      </c>
      <c r="I10" s="19">
        <f>SUMIFS([1]PositionsAL!V:V,[1]PositionsAL!F:F,"XMME")</f>
        <v>27486.458999999999</v>
      </c>
      <c r="J10" s="31">
        <f t="shared" si="10"/>
        <v>1.2774586404198087</v>
      </c>
      <c r="K10" s="39">
        <f t="shared" si="11"/>
        <v>47119.644</v>
      </c>
      <c r="L10" s="51"/>
      <c r="M10" s="48"/>
      <c r="N10" s="63">
        <f t="shared" si="8"/>
        <v>47119.644</v>
      </c>
      <c r="O10" s="27" t="str">
        <f t="shared" si="9"/>
        <v>CHF</v>
      </c>
    </row>
    <row r="11" spans="1:15" x14ac:dyDescent="0.2">
      <c r="A11" s="35" t="s">
        <v>127</v>
      </c>
      <c r="B11" s="42"/>
      <c r="C11" s="56">
        <v>0.2</v>
      </c>
      <c r="D11" s="18">
        <f>$G$42*C11</f>
        <v>193439.25748000003</v>
      </c>
      <c r="E11" s="24">
        <f>$E$2*C11</f>
        <v>85856.678560000029</v>
      </c>
      <c r="F11" s="18" cm="1">
        <f t="array" ref="F11">SUMPRODUCT(SUMIFS([1]PositionsHK!V:V,[1]PositionsHK!F:F,GrowthEngine!A:A))</f>
        <v>49202.4568</v>
      </c>
      <c r="G11" s="30">
        <f>F11/E11</f>
        <v>0.57307663917624518</v>
      </c>
      <c r="H11" s="24">
        <f>$H$2*C11</f>
        <v>107582.57892</v>
      </c>
      <c r="I11" s="18" cm="1">
        <f t="array" ref="I11">SUMPRODUCT(SUMIFS([1]PositionsAL!V:V,[1]PositionsAL!F:F,GrowthEngine!A:A))</f>
        <v>59096.747599999995</v>
      </c>
      <c r="J11" s="30">
        <f t="shared" si="10"/>
        <v>0.54931521621121593</v>
      </c>
      <c r="K11" s="38">
        <f t="shared" si="11"/>
        <v>108299.20439999999</v>
      </c>
      <c r="L11" s="50" t="s">
        <v>183</v>
      </c>
      <c r="M11" s="48">
        <f t="shared" si="1"/>
        <v>0.11197231194003855</v>
      </c>
      <c r="N11" s="37"/>
      <c r="O11" s="27"/>
    </row>
    <row r="12" spans="1:15" x14ac:dyDescent="0.2">
      <c r="A12" s="36"/>
      <c r="B12" s="42"/>
      <c r="C12" s="55"/>
      <c r="D12" s="19"/>
      <c r="E12" s="25"/>
      <c r="F12" s="19"/>
      <c r="G12" s="31"/>
      <c r="H12" s="25"/>
      <c r="I12" s="19"/>
      <c r="J12" s="31"/>
      <c r="K12" s="39"/>
      <c r="L12" s="51"/>
      <c r="M12" s="48"/>
      <c r="N12" s="63"/>
      <c r="O12" s="27"/>
    </row>
    <row r="13" spans="1:15" x14ac:dyDescent="0.2">
      <c r="A13" s="36" t="s">
        <v>196</v>
      </c>
      <c r="B13" s="42" t="s">
        <v>125</v>
      </c>
      <c r="C13" s="55">
        <v>0.6</v>
      </c>
      <c r="D13" s="19">
        <f t="shared" ref="D12:D17" si="12">$D$11*C13</f>
        <v>116063.55448800001</v>
      </c>
      <c r="E13" s="25">
        <f t="shared" ref="E12:E15" si="13">$E$11*C13</f>
        <v>51514.007136000015</v>
      </c>
      <c r="F13" s="19">
        <f>SUMIFS([1]PositionsHK!V:V,[1]PositionsHK!F:F,"EQCH")</f>
        <v>19729.850399999999</v>
      </c>
      <c r="G13" s="31">
        <f t="shared" ref="G13:G15" si="14">F13/E13</f>
        <v>0.38299972176328723</v>
      </c>
      <c r="H13" s="25">
        <f t="shared" ref="H12:H15" si="15">$H$11*C13</f>
        <v>64549.547351999994</v>
      </c>
      <c r="I13" s="19">
        <f>SUMIFS([1]PositionsAL!V:V,[1]PositionsAL!F:F,"EQCH")</f>
        <v>24662.312999999998</v>
      </c>
      <c r="J13" s="31">
        <f t="shared" si="10"/>
        <v>0.3820679464336455</v>
      </c>
      <c r="K13" s="39">
        <f t="shared" si="11"/>
        <v>44392.163399999998</v>
      </c>
      <c r="L13" s="51"/>
      <c r="M13" s="48"/>
      <c r="N13" s="63">
        <f t="shared" ref="N13:N17" si="16">K13</f>
        <v>44392.163399999998</v>
      </c>
      <c r="O13" s="27" t="str">
        <f t="shared" ref="O13:O17" si="17">B13</f>
        <v>CHF</v>
      </c>
    </row>
    <row r="14" spans="1:15" x14ac:dyDescent="0.2">
      <c r="A14" s="36" t="s">
        <v>197</v>
      </c>
      <c r="B14" s="42" t="s">
        <v>125</v>
      </c>
      <c r="C14" s="55">
        <v>0.1</v>
      </c>
      <c r="D14" s="19">
        <f t="shared" si="12"/>
        <v>19343.925748000005</v>
      </c>
      <c r="E14" s="25">
        <f t="shared" ref="E14" si="18">$E$11*C14</f>
        <v>8585.6678560000037</v>
      </c>
      <c r="F14" s="19">
        <f>SUMIFS([1]PositionsHK!V:V,[1]PositionsHK!F:F,"CBUK")</f>
        <v>9923.6563999999998</v>
      </c>
      <c r="G14" s="31">
        <f t="shared" ref="G14" si="19">F14/E14</f>
        <v>1.1558397746617879</v>
      </c>
      <c r="H14" s="25">
        <f t="shared" ref="H14" si="20">$H$11*C14</f>
        <v>10758.257892000001</v>
      </c>
      <c r="I14" s="19">
        <f>SUMIFS([1]PositionsAL!V:V,[1]PositionsAL!F:F,"CBUK")</f>
        <v>14885.4846</v>
      </c>
      <c r="J14" s="31">
        <f t="shared" si="10"/>
        <v>1.3836333679144339</v>
      </c>
      <c r="K14" s="39">
        <f t="shared" si="11"/>
        <v>24809.141</v>
      </c>
      <c r="L14" s="51"/>
      <c r="M14" s="48"/>
      <c r="N14" s="63">
        <f t="shared" si="16"/>
        <v>24809.141</v>
      </c>
      <c r="O14" s="27" t="str">
        <f t="shared" si="17"/>
        <v>CHF</v>
      </c>
    </row>
    <row r="15" spans="1:15" x14ac:dyDescent="0.2">
      <c r="A15" s="67" t="s">
        <v>195</v>
      </c>
      <c r="B15" s="42" t="s">
        <v>16</v>
      </c>
      <c r="C15" s="55">
        <v>0.1</v>
      </c>
      <c r="D15" s="19">
        <f t="shared" si="12"/>
        <v>19343.925748000005</v>
      </c>
      <c r="E15" s="25">
        <f t="shared" si="13"/>
        <v>8585.6678560000037</v>
      </c>
      <c r="F15" s="19">
        <f>SUMIFS([1]PositionsHK!V:V,[1]PositionsHK!F:F,"9807")</f>
        <v>7735</v>
      </c>
      <c r="G15" s="31">
        <f t="shared" si="14"/>
        <v>0.90092001341450412</v>
      </c>
      <c r="H15" s="25">
        <f t="shared" si="15"/>
        <v>10758.257892000001</v>
      </c>
      <c r="I15" s="19">
        <f>SUMIFS([1]PositionsAL!V:V,[1]PositionsAL!F:F,"9807")</f>
        <v>8508.5</v>
      </c>
      <c r="J15" s="31">
        <f t="shared" si="10"/>
        <v>0.79088083641562879</v>
      </c>
      <c r="K15" s="39">
        <f t="shared" si="11"/>
        <v>16243.5</v>
      </c>
      <c r="L15" s="51"/>
      <c r="M15" s="48"/>
      <c r="N15" s="63">
        <f t="shared" si="16"/>
        <v>16243.5</v>
      </c>
      <c r="O15" s="27" t="str">
        <f t="shared" si="17"/>
        <v>USD</v>
      </c>
    </row>
    <row r="16" spans="1:15" x14ac:dyDescent="0.2">
      <c r="A16" s="36" t="s">
        <v>8</v>
      </c>
      <c r="B16" s="42" t="s">
        <v>16</v>
      </c>
      <c r="C16" s="55">
        <v>0.1</v>
      </c>
      <c r="D16" s="19">
        <f t="shared" si="12"/>
        <v>19343.925748000005</v>
      </c>
      <c r="E16" s="25">
        <f>$E$11*C16</f>
        <v>8585.6678560000037</v>
      </c>
      <c r="F16" s="19">
        <f>SUMIFS([1]PositionsHK!V:V,[1]PositionsHK!F:F,"INRA")</f>
        <v>10435.35</v>
      </c>
      <c r="G16" s="31">
        <f>F16/E16</f>
        <v>1.2154383531978081</v>
      </c>
      <c r="H16" s="25">
        <f>$H$11*C16</f>
        <v>10758.257892000001</v>
      </c>
      <c r="I16" s="19">
        <f>SUMIFS([1]PositionsAL!V:V,[1]PositionsAL!F:F,"INRA")</f>
        <v>10435.35</v>
      </c>
      <c r="J16" s="31">
        <f t="shared" si="10"/>
        <v>0.96998511327376524</v>
      </c>
      <c r="K16" s="39">
        <f t="shared" si="11"/>
        <v>20870.7</v>
      </c>
      <c r="L16" s="51"/>
      <c r="M16" s="48"/>
      <c r="N16" s="63">
        <f t="shared" si="16"/>
        <v>20870.7</v>
      </c>
      <c r="O16" s="27" t="str">
        <f t="shared" si="17"/>
        <v>USD</v>
      </c>
    </row>
    <row r="17" spans="1:15" x14ac:dyDescent="0.2">
      <c r="A17" s="36" t="s">
        <v>192</v>
      </c>
      <c r="B17" s="42" t="s">
        <v>16</v>
      </c>
      <c r="C17" s="55">
        <v>0.1</v>
      </c>
      <c r="D17" s="19">
        <f t="shared" si="12"/>
        <v>19343.925748000005</v>
      </c>
      <c r="E17" s="25">
        <f>$E$11*C17</f>
        <v>8585.6678560000037</v>
      </c>
      <c r="F17" s="19">
        <f>SUMIFS([1]PositionsHK!V:V,[1]PositionsHK!F:F,"GRDU")</f>
        <v>9113.6</v>
      </c>
      <c r="G17" s="31">
        <f>F17/E17</f>
        <v>1.0614899333231318</v>
      </c>
      <c r="H17" s="25">
        <f>$H$11*C17</f>
        <v>10758.257892000001</v>
      </c>
      <c r="I17" s="19">
        <f>SUMIFS([1]PositionsAL!V:V,[1]PositionsAL!F:F,"GRDU")</f>
        <v>9113.6</v>
      </c>
      <c r="J17" s="31">
        <f t="shared" si="10"/>
        <v>0.84712600232208668</v>
      </c>
      <c r="K17" s="39">
        <f t="shared" si="11"/>
        <v>18227.2</v>
      </c>
      <c r="L17" s="51"/>
      <c r="M17" s="48"/>
      <c r="N17" s="63">
        <f t="shared" si="16"/>
        <v>18227.2</v>
      </c>
      <c r="O17" s="27" t="str">
        <f t="shared" si="17"/>
        <v>USD</v>
      </c>
    </row>
    <row r="18" spans="1:15" x14ac:dyDescent="0.2">
      <c r="A18" s="54"/>
      <c r="B18" s="42"/>
      <c r="C18" s="55"/>
      <c r="D18" s="19"/>
      <c r="E18" s="25"/>
      <c r="F18" s="19"/>
      <c r="G18" s="31"/>
      <c r="H18" s="25"/>
      <c r="I18" s="19"/>
      <c r="J18" s="31"/>
      <c r="K18" s="39"/>
      <c r="L18" s="51"/>
      <c r="M18" s="48"/>
      <c r="N18" s="63"/>
      <c r="O18" s="27"/>
    </row>
    <row r="19" spans="1:15" x14ac:dyDescent="0.2">
      <c r="A19" s="35" t="s">
        <v>168</v>
      </c>
      <c r="B19" s="42" t="s">
        <v>16</v>
      </c>
      <c r="C19" s="56">
        <v>0.15</v>
      </c>
      <c r="D19" s="18">
        <f>$G$42*C19</f>
        <v>145079.44310999999</v>
      </c>
      <c r="E19" s="24">
        <f>$E$2*C19</f>
        <v>64392.508920000007</v>
      </c>
      <c r="F19" s="18" cm="1">
        <f t="array" ref="F19">SUMPRODUCT(SUMIFS([1]PositionsHK!V:V,[1]PositionsHK!F:F,IncomeStrategy!A:A))+SUMIFS([1]PositionsHK!V:V,[1]PositionsHK!D:D,"OPT")-SUMIFS([1]PositionsHK!V:V,[1]PositionsHK!D:D,"OPT",[1]PositionsHK!F:F,"SPY*")-SUMIFS([1]PositionsHK!V:V,[1]PositionsHK!D:D,"OPT",[1]PositionsHK!F:F,"QQQ*")+SUMIFS([1]PositionsHK!V:V,[1]PositionsHK!D:D,"FOP")-SUMIFS([1]PositionsHK!V:V,[1]PositionsHK!D:D,"FOP",[1]PositionsHK!F:F,"SPY*")-SUMIFS([1]PositionsHK!V:V,[1]PositionsHK!D:D,"FOP",[1]PositionsHK!F:F,"QQQ*")</f>
        <v>38310.83</v>
      </c>
      <c r="G19" s="30">
        <f>F19/E19</f>
        <v>0.59495787076097051</v>
      </c>
      <c r="H19" s="24">
        <f>$H$2*C19</f>
        <v>80686.93419</v>
      </c>
      <c r="I19" s="18" cm="1">
        <f t="array" ref="I19">SUMPRODUCT(SUMIFS([1]PositionsAL!V:V,[1]PositionsAL!F:F,IncomeStrategy!A:A))+SUMIFS([1]PositionsAL!V:V,[1]PositionsAL!D:D,"OPT")-SUMIFS([1]PositionsAL!V:V,[1]PositionsAL!D:D,"OPT",[1]PositionsAL!F:F,"SPY*")-SUMIFS([1]PositionsAL!V:V,[1]PositionsAL!D:D,"OPT",[1]PositionsAL!F:F,"QQQ*")+SUMIFS([1]PositionsAL!V:V,[1]PositionsAL!D:D,"FOP")-SUMIFS([1]PositionsAL!V:V,[1]PositionsAL!D:D,"FOP",[1]PositionsAL!F:F,"SPY*")-SUMIFS([1]PositionsAL!V:V,[1]PositionsAL!D:D,"FOP",[1]PositionsAL!F:F,"QQQ*")</f>
        <v>56057.89</v>
      </c>
      <c r="J19" s="30">
        <f>I19/H19</f>
        <v>0.69475796252211031</v>
      </c>
      <c r="K19" s="38">
        <f>F19+I19</f>
        <v>94368.72</v>
      </c>
      <c r="L19" s="50" t="s">
        <v>184</v>
      </c>
      <c r="M19" s="48">
        <f t="shared" si="1"/>
        <v>9.7569357150532832E-2</v>
      </c>
      <c r="N19" s="63">
        <f>K19</f>
        <v>94368.72</v>
      </c>
      <c r="O19" s="27" t="str">
        <f>B19</f>
        <v>USD</v>
      </c>
    </row>
    <row r="20" spans="1:15" x14ac:dyDescent="0.2">
      <c r="A20" s="35" t="s">
        <v>167</v>
      </c>
      <c r="B20" s="46" t="s">
        <v>16</v>
      </c>
      <c r="C20" s="56">
        <v>0.03</v>
      </c>
      <c r="D20" s="18">
        <f>$G$42*C20</f>
        <v>29015.888621999999</v>
      </c>
      <c r="E20" s="24">
        <f>$E$2*C20</f>
        <v>12878.501784000002</v>
      </c>
      <c r="F20" s="18" cm="1">
        <f t="array" ref="F20">SUMIFS([1]PositionsHK!V:V,[1]PositionsHK!D:D,"STK")-SUMPRODUCT(SUMIFS([1]PositionsHK!V:V,[1]PositionsHK!D:D,"STK",[1]PositionsHK!F:F,GlobalETF!A:A))-SUMPRODUCT(SUMIFS([1]PositionsHK!V:V,[1]PositionsHK!D:D,"STK",[1]PositionsHK!F:F,GrowthEngine!A:A))-SUMPRODUCT(SUMIFS([1]PositionsHK!V:V,[1]PositionsHK!D:D,"STK",[1]PositionsHK!F:F,IncomeStrategy!A:A))-SUMPRODUCT(SUMIFS([1]PositionsHK!V:V,[1]PositionsHK!D:D,"STK",[1]PositionsHK!F:F,Gold!A:A))</f>
        <v>19545.766000000061</v>
      </c>
      <c r="G20" s="30">
        <f t="shared" ref="G20:G21" si="21">F20/E20</f>
        <v>1.5177049572865173</v>
      </c>
      <c r="H20" s="24">
        <f>$H$2*C20</f>
        <v>16137.386837999999</v>
      </c>
      <c r="I20" s="18" cm="1">
        <f t="array" ref="I20">SUMIFS([1]PositionsAL!V:V,[1]PositionsAL!D:D,"STK")-SUMPRODUCT(SUMIFS([1]PositionsAL!V:V,[1]PositionsAL!D:D,"STK",[1]PositionsAL!F:F,GlobalETF!A:A))-SUMPRODUCT(SUMIFS([1]PositionsAL!V:V,[1]PositionsAL!D:D,"STK",[1]PositionsAL!F:F,GrowthEngine!A:A))-SUMPRODUCT(SUMIFS([1]PositionsAL!V:V,[1]PositionsAL!D:D,"STK",[1]PositionsAL!F:F,IncomeStrategy!A:A))-SUMPRODUCT(SUMIFS([1]PositionsAL!V:V,[1]PositionsAL!D:D,"STK",[1]PositionsAL!F:F,Gold!A:A))</f>
        <v>21674.226000000024</v>
      </c>
      <c r="J20" s="30">
        <f>I20/H20</f>
        <v>1.3431063044830769</v>
      </c>
      <c r="K20" s="38">
        <f>F20+I20</f>
        <v>41219.992000000086</v>
      </c>
      <c r="L20" s="50" t="s">
        <v>185</v>
      </c>
      <c r="M20" s="48">
        <f t="shared" si="1"/>
        <v>4.2618021323062499E-2</v>
      </c>
      <c r="N20" s="63">
        <f t="shared" ref="N20:N22" si="22">K20</f>
        <v>41219.992000000086</v>
      </c>
      <c r="O20" s="27" t="str">
        <f t="shared" ref="O20:O22" si="23">B20</f>
        <v>USD</v>
      </c>
    </row>
    <row r="21" spans="1:15" x14ac:dyDescent="0.2">
      <c r="A21" s="35" t="s">
        <v>166</v>
      </c>
      <c r="B21" s="46" t="s">
        <v>16</v>
      </c>
      <c r="C21" s="56">
        <v>0.02</v>
      </c>
      <c r="D21" s="18">
        <f>$G$42*C21</f>
        <v>19343.925748000001</v>
      </c>
      <c r="E21" s="24">
        <f>$E$2*C21</f>
        <v>8585.6678560000018</v>
      </c>
      <c r="F21" s="18">
        <f>SUMIFS([1]PositionsHK!V:V,[1]PositionsHK!F:F,"SPY*",[1]PositionsHK!D:D,"OPT")+SUMIFS([1]PositionsHK!V:V,[1]PositionsHK!F:F,"SPY*",[1]PositionsHK!D:D,"FOP")+SUMIFS([1]PositionsHK!V:V,[1]PositionsHK!F:F,"QQQ*",[1]PositionsHK!D:D,"OPT")+SUMIFS([1]PositionsHK!V:V,[1]PositionsHK!F:F,"QQQ*",[1]PositionsHK!D:D,"FOP")</f>
        <v>8700.92</v>
      </c>
      <c r="G21" s="30">
        <f t="shared" si="21"/>
        <v>1.013423783208601</v>
      </c>
      <c r="H21" s="24">
        <f>H2*C21</f>
        <v>10758.257892</v>
      </c>
      <c r="I21" s="18">
        <f>SUMIFS([1]PositionsAL!V:V,[1]PositionsAL!F:F,"SPY*",[1]PositionsAL!D:D,"OPT")+SUMIFS([1]PositionsAL!V:V,[1]PositionsAL!F:F,"SPY*",[1]PositionsAL!D:D,"FOP")+SUMIFS([1]PositionsAL!V:V,[1]PositionsAL!F:F,"QQQ*",[1]PositionsAL!D:D,"OPT")+SUMIFS([1]PositionsAL!V:V,[1]PositionsAL!F:F,"QQQ*",[1]PositionsAL!D:D,"FOP")</f>
        <v>8700.92</v>
      </c>
      <c r="J21" s="30">
        <f>I21/H21</f>
        <v>0.80876663186054809</v>
      </c>
      <c r="K21" s="38">
        <f>F21+I21</f>
        <v>17401.84</v>
      </c>
      <c r="L21" s="50" t="s">
        <v>186</v>
      </c>
      <c r="M21" s="48">
        <f t="shared" si="1"/>
        <v>1.799204590288422E-2</v>
      </c>
      <c r="N21" s="63">
        <f t="shared" si="22"/>
        <v>17401.84</v>
      </c>
      <c r="O21" s="27" t="str">
        <f t="shared" si="23"/>
        <v>USD</v>
      </c>
    </row>
    <row r="22" spans="1:15" x14ac:dyDescent="0.2">
      <c r="A22" s="35" t="s">
        <v>200</v>
      </c>
      <c r="B22" s="42" t="s">
        <v>14</v>
      </c>
      <c r="C22" s="56">
        <v>0.1</v>
      </c>
      <c r="D22" s="18">
        <f>$G$42*C22</f>
        <v>96719.628740000015</v>
      </c>
      <c r="E22" s="24">
        <f>$E$2*C22</f>
        <v>42928.339280000015</v>
      </c>
      <c r="F22" s="18" cm="1">
        <f t="array" ref="F22">SUMPRODUCT(SUMIFS([1]PositionsHK!V:V,[1]PositionsHK!F:F,Gold!A:A))</f>
        <v>41199.404999999999</v>
      </c>
      <c r="G22" s="30">
        <f>F22/E22</f>
        <v>0.95972510679430101</v>
      </c>
      <c r="H22" s="24">
        <f>$H$2*C22</f>
        <v>53791.28946</v>
      </c>
      <c r="I22" s="18" cm="1">
        <f t="array" ref="I22">SUMPRODUCT(SUMIFS([1]PositionsAL!V:V,[1]PositionsAL!F:F,Gold!A:A))</f>
        <v>41199.404999999999</v>
      </c>
      <c r="J22" s="30">
        <f>I22/H22</f>
        <v>0.76591220276726191</v>
      </c>
      <c r="K22" s="38">
        <f>F22+I22</f>
        <v>82398.81</v>
      </c>
      <c r="L22" s="50" t="s">
        <v>187</v>
      </c>
      <c r="M22" s="48">
        <f>K22/$G$42</f>
        <v>8.5193472176679899E-2</v>
      </c>
      <c r="N22" s="63">
        <f t="shared" si="22"/>
        <v>82398.81</v>
      </c>
      <c r="O22" s="27" t="str">
        <f t="shared" si="23"/>
        <v>SGD</v>
      </c>
    </row>
    <row r="23" spans="1:15" x14ac:dyDescent="0.2">
      <c r="A23" s="34" t="s">
        <v>128</v>
      </c>
      <c r="B23" s="42" t="s">
        <v>16</v>
      </c>
      <c r="C23" s="56">
        <v>0.05</v>
      </c>
      <c r="D23" s="18">
        <f>$G$42*C23</f>
        <v>48359.814370000007</v>
      </c>
      <c r="E23" s="26">
        <f>$E$2*C23</f>
        <v>21464.169640000007</v>
      </c>
      <c r="F23" s="58" t="str">
        <f>[1]Summary!$C$2</f>
        <v>$124,994.03</v>
      </c>
      <c r="G23" s="32">
        <f>F23/E23</f>
        <v>5.8233806430165709</v>
      </c>
      <c r="H23" s="26">
        <f>$H$2*C23</f>
        <v>26895.64473</v>
      </c>
      <c r="I23" s="58" t="str">
        <f>[1]Summary!$C$3</f>
        <v>$124,799.99</v>
      </c>
      <c r="J23" s="32">
        <f>I23/H23</f>
        <v>4.6401561015860429</v>
      </c>
      <c r="K23" s="40">
        <f>F23+I23</f>
        <v>249794.02000000002</v>
      </c>
      <c r="L23" s="52" t="s">
        <v>122</v>
      </c>
      <c r="M23" s="49">
        <f>K23/$G$42</f>
        <v>0.25826610715338028</v>
      </c>
      <c r="N23" s="61"/>
      <c r="O23" s="62"/>
    </row>
    <row r="24" spans="1:15" x14ac:dyDescent="0.2">
      <c r="A24" s="5"/>
      <c r="B24" s="5"/>
      <c r="C24" s="6">
        <f>C4+C11+C19+C20+C21+C22+C23</f>
        <v>0.95000000000000018</v>
      </c>
      <c r="D24" s="5"/>
      <c r="E24" s="5"/>
      <c r="F24" s="7"/>
      <c r="G24" s="7"/>
      <c r="H24" s="7"/>
      <c r="I24" s="7"/>
      <c r="J24" s="5"/>
      <c r="K24" s="5"/>
    </row>
    <row r="25" spans="1:15" x14ac:dyDescent="0.2">
      <c r="F25" s="3"/>
      <c r="I25" s="3"/>
    </row>
    <row r="26" spans="1:15" x14ac:dyDescent="0.2">
      <c r="A26" s="9"/>
      <c r="B26" s="9"/>
    </row>
    <row r="40" spans="7:14" x14ac:dyDescent="0.2">
      <c r="H40" s="1" t="s">
        <v>181</v>
      </c>
      <c r="K40" s="1" t="s">
        <v>124</v>
      </c>
      <c r="N40" s="1" t="s">
        <v>199</v>
      </c>
    </row>
    <row r="41" spans="7:14" x14ac:dyDescent="0.2">
      <c r="G41" s="12" t="s">
        <v>120</v>
      </c>
      <c r="H41" s="11"/>
      <c r="J41" s="45" t="s">
        <v>164</v>
      </c>
      <c r="K41" s="45" t="s">
        <v>165</v>
      </c>
      <c r="L41" s="45"/>
    </row>
    <row r="42" spans="7:14" x14ac:dyDescent="0.2">
      <c r="G42" s="16">
        <f>E2+H2</f>
        <v>967196.28740000003</v>
      </c>
      <c r="H42" s="11"/>
      <c r="J42" t="s">
        <v>16</v>
      </c>
      <c r="K42" s="44">
        <f>SUMIF(B4:B23, Query__2[[#This Row],[CurrencyPrimary]], N4:N23)</f>
        <v>392933.95200000011</v>
      </c>
      <c r="L42" s="44"/>
    </row>
    <row r="43" spans="7:14" x14ac:dyDescent="0.2">
      <c r="G43" s="12" t="s">
        <v>121</v>
      </c>
      <c r="H43" s="17">
        <f>G44/G42</f>
        <v>0.74173389284661972</v>
      </c>
      <c r="J43" t="s">
        <v>125</v>
      </c>
      <c r="K43" s="44">
        <f>SUMIF(B4:B23, Query__2[[#This Row],[CurrencyPrimary]], N4:N23)</f>
        <v>116320.94839999999</v>
      </c>
      <c r="L43" s="44"/>
    </row>
    <row r="44" spans="7:14" x14ac:dyDescent="0.2">
      <c r="G44" s="16">
        <f>G42-G46</f>
        <v>717402.26740000001</v>
      </c>
      <c r="H44" s="11"/>
      <c r="J44" t="s">
        <v>12</v>
      </c>
      <c r="K44" s="44">
        <f>SUMIF(B4:B23, Query__2[[#This Row],[CurrencyPrimary]], N4:N23)</f>
        <v>51433.584999999999</v>
      </c>
      <c r="L44" s="44"/>
    </row>
    <row r="45" spans="7:14" x14ac:dyDescent="0.2">
      <c r="G45" s="12" t="s">
        <v>122</v>
      </c>
      <c r="H45" s="17">
        <f>G46/G42</f>
        <v>0.25826610715338028</v>
      </c>
      <c r="J45" t="s">
        <v>14</v>
      </c>
      <c r="K45" s="44">
        <f>SUMIF(B4:B23, Query__2[[#This Row],[CurrencyPrimary]], N4:N23)</f>
        <v>150209.20199999999</v>
      </c>
      <c r="L45" s="44"/>
    </row>
    <row r="46" spans="7:14" x14ac:dyDescent="0.2">
      <c r="G46" s="16">
        <f>F23+I23</f>
        <v>249794.02000000002</v>
      </c>
      <c r="H46" s="11"/>
      <c r="J46" t="s">
        <v>10</v>
      </c>
      <c r="K46" s="44">
        <f>SUMIF(B4:B23, Query__2[[#This Row],[CurrencyPrimary]], N4:N23)</f>
        <v>22748.080000000002</v>
      </c>
      <c r="L46" s="44"/>
    </row>
    <row r="51" spans="1:6" x14ac:dyDescent="0.2">
      <c r="A51" s="11"/>
      <c r="B51" s="11" t="s">
        <v>5</v>
      </c>
      <c r="C51" s="11" t="s">
        <v>119</v>
      </c>
      <c r="E51" s="15"/>
      <c r="F51" s="15"/>
    </row>
    <row r="52" spans="1:6" x14ac:dyDescent="0.2">
      <c r="A52" s="12" t="str">
        <f>A4</f>
        <v>Global Triads (the strategic core)</v>
      </c>
      <c r="B52" s="13">
        <f>D4</f>
        <v>386878.51496000006</v>
      </c>
      <c r="C52" s="14">
        <f>K4</f>
        <v>373713.701</v>
      </c>
      <c r="E52" s="15"/>
      <c r="F52" s="15"/>
    </row>
    <row r="53" spans="1:6" x14ac:dyDescent="0.2">
      <c r="A53" s="12" t="str">
        <f>A11</f>
        <v>Four Horsemen (growth engine)</v>
      </c>
      <c r="B53" s="13">
        <f>D11</f>
        <v>193439.25748000003</v>
      </c>
      <c r="C53" s="14">
        <f>K11</f>
        <v>108299.20439999999</v>
      </c>
      <c r="E53" s="15"/>
      <c r="F53" s="15"/>
    </row>
    <row r="54" spans="1:6" x14ac:dyDescent="0.2">
      <c r="A54" s="12" t="str">
        <f>A19</f>
        <v>Cash Cow (income Strategy, wheel/CSPs/CC/callOpts)</v>
      </c>
      <c r="B54" s="13">
        <f>D19</f>
        <v>145079.44310999999</v>
      </c>
      <c r="C54" s="14">
        <f>K19</f>
        <v>94368.72</v>
      </c>
      <c r="E54" s="15"/>
      <c r="F54" s="15"/>
    </row>
    <row r="55" spans="1:6" x14ac:dyDescent="0.2">
      <c r="A55" s="12" t="str">
        <f>A20</f>
        <v>The Alpha (theme stocks)</v>
      </c>
      <c r="B55" s="13">
        <f>D20</f>
        <v>29015.888621999999</v>
      </c>
      <c r="C55" s="14">
        <f>K20</f>
        <v>41219.992000000086</v>
      </c>
      <c r="E55" s="15"/>
      <c r="F55" s="15"/>
    </row>
    <row r="56" spans="1:6" x14ac:dyDescent="0.2">
      <c r="A56" s="12" t="str">
        <f>A21</f>
        <v>The Omega (insurance, SPY and QQQ bear spreads)</v>
      </c>
      <c r="B56" s="13">
        <f>D21</f>
        <v>19343.925748000001</v>
      </c>
      <c r="C56" s="14">
        <f>K21</f>
        <v>17401.84</v>
      </c>
      <c r="E56" s="15"/>
      <c r="F56" s="15"/>
    </row>
    <row r="57" spans="1:6" x14ac:dyDescent="0.2">
      <c r="A57" s="12" t="str">
        <f>A22</f>
        <v>The Vault (GSD, Gold)</v>
      </c>
      <c r="B57" s="13">
        <f>D22</f>
        <v>96719.628740000015</v>
      </c>
      <c r="C57" s="14">
        <f>K22</f>
        <v>82398.81</v>
      </c>
      <c r="E57" s="15"/>
      <c r="F57" s="15"/>
    </row>
    <row r="58" spans="1:6" x14ac:dyDescent="0.2">
      <c r="A58" s="12" t="str">
        <f>A23</f>
        <v>The War Chest (Cash)</v>
      </c>
      <c r="B58" s="13">
        <f>D23</f>
        <v>48359.814370000007</v>
      </c>
      <c r="C58" s="14">
        <f>K23</f>
        <v>249794.02000000002</v>
      </c>
      <c r="E58" s="15"/>
      <c r="F58" s="15"/>
    </row>
  </sheetData>
  <mergeCells count="2">
    <mergeCell ref="L3:M3"/>
    <mergeCell ref="N3:O3"/>
  </mergeCells>
  <conditionalFormatting sqref="G4:G23">
    <cfRule type="expression" dxfId="19" priority="149">
      <formula>AND(G4&gt;=120%)</formula>
    </cfRule>
    <cfRule type="expression" dxfId="18" priority="150">
      <formula>AND(G4&lt;50%)</formula>
    </cfRule>
    <cfRule type="expression" dxfId="17" priority="151">
      <formula>AND(G4&gt;=50%, G4&lt;80%)</formula>
    </cfRule>
    <cfRule type="expression" dxfId="16" priority="152">
      <formula>AND(G4&gt;=80%, G4&lt;=120%)</formula>
    </cfRule>
  </conditionalFormatting>
  <conditionalFormatting sqref="J4:J10">
    <cfRule type="expression" dxfId="15" priority="85">
      <formula>AND(J4&gt;=120%)</formula>
    </cfRule>
    <cfRule type="expression" dxfId="14" priority="86">
      <formula>AND(J4&lt;50%)</formula>
    </cfRule>
    <cfRule type="expression" dxfId="13" priority="87">
      <formula>AND(J4&gt;=50%, J4&lt;80%)</formula>
    </cfRule>
    <cfRule type="expression" dxfId="12" priority="88">
      <formula>AND(J4&gt;=80%, J4&lt;=120%)</formula>
    </cfRule>
  </conditionalFormatting>
  <conditionalFormatting sqref="J8:J10">
    <cfRule type="expression" dxfId="11" priority="81">
      <formula>AND(J8&gt;=120%)</formula>
    </cfRule>
    <cfRule type="expression" dxfId="10" priority="82">
      <formula>AND(J8&lt;50%)</formula>
    </cfRule>
    <cfRule type="expression" dxfId="9" priority="83">
      <formula>AND(J8&gt;=50%, J8&lt;80%)</formula>
    </cfRule>
    <cfRule type="expression" dxfId="8" priority="84">
      <formula>AND(J8&gt;=80%, J8&lt;=120%)</formula>
    </cfRule>
  </conditionalFormatting>
  <conditionalFormatting sqref="J11:J23">
    <cfRule type="expression" dxfId="7" priority="125">
      <formula>AND(J11&gt;=120%)</formula>
    </cfRule>
    <cfRule type="expression" dxfId="6" priority="126">
      <formula>AND(J11&lt;50%)</formula>
    </cfRule>
    <cfRule type="expression" dxfId="5" priority="127">
      <formula>AND(J11&gt;=50%, J11&lt;80%)</formula>
    </cfRule>
    <cfRule type="expression" dxfId="4" priority="128">
      <formula>AND(J11&gt;=80%, J11&lt;=120%)</formula>
    </cfRule>
  </conditionalFormatting>
  <conditionalFormatting sqref="J16:J17">
    <cfRule type="expression" dxfId="3" priority="121">
      <formula>AND(J16&gt;=120%)</formula>
    </cfRule>
    <cfRule type="expression" dxfId="2" priority="122">
      <formula>AND(J16&lt;50%)</formula>
    </cfRule>
    <cfRule type="expression" dxfId="1" priority="123">
      <formula>AND(J16&gt;=50%, J16&lt;80%)</formula>
    </cfRule>
    <cfRule type="expression" dxfId="0" priority="124">
      <formula>AND(J16&gt;=80%, J16&lt;=120%)</formula>
    </cfRule>
  </conditionalFormatting>
  <pageMargins left="0.75" right="0.75" top="1" bottom="1" header="0.5" footer="0.5"/>
  <pageSetup paperSize="9" orientation="portrait" horizontalDpi="0" verticalDpi="0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/>
  </sheetViews>
  <sheetFormatPr baseColWidth="10" defaultRowHeight="16" x14ac:dyDescent="0.2"/>
  <cols>
    <col min="1" max="1" width="13.5" style="1" customWidth="1"/>
    <col min="2" max="2" width="12.6640625" style="1" customWidth="1"/>
    <col min="3" max="3" width="39" style="1" bestFit="1" customWidth="1"/>
    <col min="4" max="4" width="22.83203125" style="1" customWidth="1"/>
    <col min="5" max="5" width="80.5" style="1" customWidth="1"/>
    <col min="6" max="6" width="20.6640625" style="1" customWidth="1"/>
    <col min="7" max="7" width="32.5" style="1" customWidth="1"/>
    <col min="8" max="16384" width="10.83203125" style="1"/>
  </cols>
  <sheetData>
    <row r="1" spans="1:7" x14ac:dyDescent="0.2">
      <c r="A1" s="1" t="s">
        <v>9</v>
      </c>
      <c r="B1" s="1" t="s">
        <v>124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</row>
    <row r="2" spans="1:7" x14ac:dyDescent="0.2">
      <c r="A2" s="1">
        <v>82846</v>
      </c>
      <c r="B2" s="1" t="s">
        <v>10</v>
      </c>
      <c r="C2" s="1" t="s">
        <v>170</v>
      </c>
      <c r="D2" s="1">
        <v>3.8E-3</v>
      </c>
      <c r="E2" s="1" t="s">
        <v>171</v>
      </c>
      <c r="F2" s="1" t="s">
        <v>136</v>
      </c>
      <c r="G2" s="1">
        <v>-6.3500000000000001E-2</v>
      </c>
    </row>
    <row r="3" spans="1:7" x14ac:dyDescent="0.2">
      <c r="A3" s="1" t="s">
        <v>11</v>
      </c>
      <c r="B3" s="1" t="s">
        <v>12</v>
      </c>
      <c r="C3" s="1" t="s">
        <v>151</v>
      </c>
      <c r="D3" s="1" t="s">
        <v>137</v>
      </c>
      <c r="E3" s="1" t="s">
        <v>172</v>
      </c>
      <c r="F3" s="1" t="s">
        <v>137</v>
      </c>
      <c r="G3" s="1" t="s">
        <v>138</v>
      </c>
    </row>
    <row r="4" spans="1:7" x14ac:dyDescent="0.2">
      <c r="A4" s="1" t="s">
        <v>13</v>
      </c>
      <c r="B4" s="1" t="s">
        <v>14</v>
      </c>
      <c r="C4" s="1" t="s">
        <v>169</v>
      </c>
      <c r="D4" s="1" t="s">
        <v>139</v>
      </c>
      <c r="E4" s="1" t="s">
        <v>173</v>
      </c>
      <c r="F4" s="1" t="s">
        <v>140</v>
      </c>
      <c r="G4" s="1" t="s">
        <v>141</v>
      </c>
    </row>
    <row r="5" spans="1:7" x14ac:dyDescent="0.2">
      <c r="A5" s="1" t="s">
        <v>15</v>
      </c>
      <c r="B5" s="1" t="s">
        <v>16</v>
      </c>
      <c r="C5" s="1" t="s">
        <v>174</v>
      </c>
      <c r="D5" s="1" t="s">
        <v>142</v>
      </c>
      <c r="E5" s="1" t="s">
        <v>175</v>
      </c>
      <c r="F5" s="1" t="s">
        <v>143</v>
      </c>
      <c r="G5" s="1" t="s">
        <v>144</v>
      </c>
    </row>
    <row r="6" spans="1:7" x14ac:dyDescent="0.2">
      <c r="A6" s="1" t="s">
        <v>129</v>
      </c>
      <c r="B6" s="1" t="s">
        <v>125</v>
      </c>
      <c r="C6" s="1" t="s">
        <v>176</v>
      </c>
      <c r="D6" s="1" t="s">
        <v>145</v>
      </c>
      <c r="E6" s="1" t="s">
        <v>179</v>
      </c>
      <c r="F6" s="1" t="s">
        <v>146</v>
      </c>
      <c r="G6" s="1" t="s">
        <v>147</v>
      </c>
    </row>
    <row r="7" spans="1:7" x14ac:dyDescent="0.2">
      <c r="A7" s="1" t="s">
        <v>130</v>
      </c>
      <c r="B7" s="1" t="s">
        <v>125</v>
      </c>
      <c r="C7" s="1" t="s">
        <v>177</v>
      </c>
      <c r="D7" s="1" t="s">
        <v>148</v>
      </c>
      <c r="E7" s="1" t="s">
        <v>178</v>
      </c>
      <c r="F7" s="1" t="s">
        <v>149</v>
      </c>
      <c r="G7" s="1" t="s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>
      <selection activeCell="C16" sqref="C16"/>
    </sheetView>
  </sheetViews>
  <sheetFormatPr baseColWidth="10" defaultRowHeight="16" x14ac:dyDescent="0.2"/>
  <cols>
    <col min="1" max="1" width="8.1640625" style="1" bestFit="1" customWidth="1"/>
    <col min="2" max="2" width="20" style="1" bestFit="1" customWidth="1"/>
    <col min="3" max="3" width="20" style="1" customWidth="1"/>
    <col min="4" max="4" width="17.6640625" style="1" bestFit="1" customWidth="1"/>
    <col min="5" max="5" width="12.83203125" style="1" bestFit="1" customWidth="1"/>
    <col min="6" max="6" width="14" style="1" bestFit="1" customWidth="1"/>
    <col min="7" max="7" width="68.33203125" style="1" bestFit="1" customWidth="1"/>
    <col min="8" max="8" width="10.83203125" style="1" customWidth="1"/>
    <col min="9" max="16384" width="10.83203125" style="1"/>
  </cols>
  <sheetData>
    <row r="1" spans="1:7" x14ac:dyDescent="0.2">
      <c r="A1" s="1" t="s">
        <v>9</v>
      </c>
      <c r="B1" s="1" t="s">
        <v>17</v>
      </c>
      <c r="C1" s="1" t="s">
        <v>157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 x14ac:dyDescent="0.2">
      <c r="A2" s="1" t="s">
        <v>22</v>
      </c>
      <c r="B2" s="1" t="s">
        <v>16</v>
      </c>
      <c r="C2" s="1" t="s">
        <v>155</v>
      </c>
      <c r="D2" s="1" t="s">
        <v>161</v>
      </c>
      <c r="E2" s="2"/>
      <c r="F2" s="2"/>
    </row>
    <row r="3" spans="1:7" x14ac:dyDescent="0.2">
      <c r="A3" s="1" t="s">
        <v>152</v>
      </c>
      <c r="B3" s="1" t="s">
        <v>125</v>
      </c>
      <c r="C3" s="1" t="s">
        <v>155</v>
      </c>
      <c r="D3" s="1" t="s">
        <v>160</v>
      </c>
      <c r="E3" s="2"/>
      <c r="F3" s="2"/>
    </row>
    <row r="4" spans="1:7" x14ac:dyDescent="0.2">
      <c r="A4" s="1" t="s">
        <v>153</v>
      </c>
      <c r="B4" s="1" t="s">
        <v>12</v>
      </c>
      <c r="C4" s="1" t="s">
        <v>154</v>
      </c>
      <c r="D4" s="1" t="s">
        <v>159</v>
      </c>
      <c r="E4" s="2"/>
      <c r="F4" s="2"/>
    </row>
    <row r="5" spans="1:7" x14ac:dyDescent="0.2">
      <c r="A5" s="1" t="s">
        <v>23</v>
      </c>
      <c r="B5" s="1" t="s">
        <v>16</v>
      </c>
      <c r="C5" s="1" t="s">
        <v>156</v>
      </c>
      <c r="D5" s="1" t="s">
        <v>162</v>
      </c>
      <c r="E5" s="2"/>
      <c r="F5" s="2"/>
    </row>
    <row r="6" spans="1:7" x14ac:dyDescent="0.2">
      <c r="A6" s="1" t="s">
        <v>191</v>
      </c>
      <c r="B6" s="1" t="s">
        <v>16</v>
      </c>
      <c r="C6" s="1" t="s">
        <v>158</v>
      </c>
      <c r="D6" s="1" t="s">
        <v>163</v>
      </c>
      <c r="E6" s="2"/>
      <c r="F6" s="2"/>
    </row>
    <row r="7" spans="1:7" x14ac:dyDescent="0.2">
      <c r="E7" s="2"/>
      <c r="F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6"/>
  <sheetViews>
    <sheetView workbookViewId="0">
      <selection activeCell="C32" sqref="C32"/>
    </sheetView>
  </sheetViews>
  <sheetFormatPr baseColWidth="10" defaultRowHeight="16" x14ac:dyDescent="0.2"/>
  <cols>
    <col min="1" max="1" width="10.6640625" style="1" bestFit="1" customWidth="1"/>
    <col min="2" max="2" width="20" style="1" bestFit="1" customWidth="1"/>
    <col min="3" max="3" width="26" style="1" bestFit="1" customWidth="1"/>
    <col min="4" max="4" width="48.83203125" style="1" customWidth="1"/>
    <col min="5" max="5" width="190" style="1" bestFit="1" customWidth="1"/>
    <col min="6" max="6" width="10.83203125" style="1" customWidth="1"/>
    <col min="7" max="16384" width="10.83203125" style="1"/>
  </cols>
  <sheetData>
    <row r="1" spans="1:5" x14ac:dyDescent="0.2">
      <c r="A1" s="1" t="s">
        <v>9</v>
      </c>
      <c r="B1" s="1" t="s">
        <v>3</v>
      </c>
      <c r="C1" s="1" t="s">
        <v>24</v>
      </c>
      <c r="D1" s="1" t="s">
        <v>25</v>
      </c>
      <c r="E1" s="1" t="s">
        <v>26</v>
      </c>
    </row>
    <row r="2" spans="1:5" x14ac:dyDescent="0.2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</row>
    <row r="3" spans="1:5" x14ac:dyDescent="0.2">
      <c r="A3" s="1" t="s">
        <v>32</v>
      </c>
      <c r="B3" s="1" t="s">
        <v>33</v>
      </c>
      <c r="C3" s="1" t="s">
        <v>34</v>
      </c>
      <c r="D3" s="1" t="s">
        <v>35</v>
      </c>
      <c r="E3" s="1" t="s">
        <v>36</v>
      </c>
    </row>
    <row r="4" spans="1:5" x14ac:dyDescent="0.2">
      <c r="A4" s="1" t="s">
        <v>37</v>
      </c>
      <c r="B4" s="1" t="s">
        <v>33</v>
      </c>
      <c r="C4" s="1" t="s">
        <v>34</v>
      </c>
      <c r="D4" s="1" t="s">
        <v>38</v>
      </c>
      <c r="E4" s="1" t="s">
        <v>39</v>
      </c>
    </row>
    <row r="5" spans="1:5" x14ac:dyDescent="0.2">
      <c r="A5" s="1" t="s">
        <v>41</v>
      </c>
      <c r="B5" s="1" t="s">
        <v>33</v>
      </c>
      <c r="C5" s="1" t="s">
        <v>40</v>
      </c>
      <c r="D5" s="1" t="s">
        <v>42</v>
      </c>
      <c r="E5" s="1" t="s">
        <v>43</v>
      </c>
    </row>
    <row r="6" spans="1:5" x14ac:dyDescent="0.2">
      <c r="A6" s="1" t="s">
        <v>44</v>
      </c>
      <c r="B6" s="1" t="s">
        <v>33</v>
      </c>
      <c r="C6" s="1" t="s">
        <v>45</v>
      </c>
      <c r="D6" s="1" t="s">
        <v>46</v>
      </c>
      <c r="E6" s="1" t="s">
        <v>47</v>
      </c>
    </row>
    <row r="7" spans="1:5" x14ac:dyDescent="0.2">
      <c r="A7" s="1" t="s">
        <v>48</v>
      </c>
      <c r="B7" s="1" t="s">
        <v>33</v>
      </c>
      <c r="C7" s="1" t="s">
        <v>34</v>
      </c>
      <c r="D7" s="1" t="s">
        <v>49</v>
      </c>
      <c r="E7" s="1" t="s">
        <v>50</v>
      </c>
    </row>
    <row r="8" spans="1:5" x14ac:dyDescent="0.2">
      <c r="A8" s="1" t="s">
        <v>51</v>
      </c>
      <c r="B8" s="1" t="s">
        <v>52</v>
      </c>
      <c r="C8" s="53" t="s">
        <v>53</v>
      </c>
      <c r="D8" s="53" t="s">
        <v>54</v>
      </c>
      <c r="E8" s="53" t="s">
        <v>55</v>
      </c>
    </row>
    <row r="9" spans="1:5" x14ac:dyDescent="0.2">
      <c r="A9" s="1" t="s">
        <v>56</v>
      </c>
      <c r="B9" s="1" t="s">
        <v>52</v>
      </c>
      <c r="C9" s="53" t="s">
        <v>57</v>
      </c>
      <c r="D9" s="53" t="s">
        <v>58</v>
      </c>
      <c r="E9" s="53" t="s">
        <v>59</v>
      </c>
    </row>
    <row r="10" spans="1:5" x14ac:dyDescent="0.2">
      <c r="A10" s="1" t="s">
        <v>60</v>
      </c>
      <c r="B10" s="1" t="s">
        <v>52</v>
      </c>
      <c r="C10" s="53" t="s">
        <v>40</v>
      </c>
      <c r="D10" s="53" t="s">
        <v>61</v>
      </c>
      <c r="E10" s="53" t="s">
        <v>62</v>
      </c>
    </row>
    <row r="11" spans="1:5" x14ac:dyDescent="0.2">
      <c r="A11" s="1" t="s">
        <v>63</v>
      </c>
      <c r="B11" s="1" t="s">
        <v>64</v>
      </c>
      <c r="C11" s="1" t="s">
        <v>40</v>
      </c>
      <c r="D11" s="1" t="s">
        <v>65</v>
      </c>
      <c r="E11" s="1" t="s">
        <v>66</v>
      </c>
    </row>
    <row r="12" spans="1:5" x14ac:dyDescent="0.2">
      <c r="A12" s="1" t="s">
        <v>67</v>
      </c>
      <c r="B12" s="1" t="s">
        <v>68</v>
      </c>
      <c r="C12" s="1" t="s">
        <v>40</v>
      </c>
      <c r="D12" s="1" t="s">
        <v>69</v>
      </c>
      <c r="E12" s="1" t="s">
        <v>70</v>
      </c>
    </row>
    <row r="13" spans="1:5" x14ac:dyDescent="0.2">
      <c r="A13" s="1" t="s">
        <v>71</v>
      </c>
      <c r="B13" s="1" t="s">
        <v>68</v>
      </c>
      <c r="C13" s="1" t="s">
        <v>34</v>
      </c>
      <c r="D13" s="1" t="s">
        <v>72</v>
      </c>
      <c r="E13" s="1" t="s">
        <v>73</v>
      </c>
    </row>
    <row r="14" spans="1:5" x14ac:dyDescent="0.2">
      <c r="A14" s="1" t="s">
        <v>74</v>
      </c>
      <c r="B14" s="1" t="s">
        <v>75</v>
      </c>
      <c r="C14" s="1" t="s">
        <v>34</v>
      </c>
      <c r="D14" s="1" t="s">
        <v>76</v>
      </c>
      <c r="E14" s="1" t="s">
        <v>77</v>
      </c>
    </row>
    <row r="15" spans="1:5" x14ac:dyDescent="0.2">
      <c r="A15" s="1" t="s">
        <v>78</v>
      </c>
      <c r="B15" s="1" t="s">
        <v>75</v>
      </c>
      <c r="C15" s="1" t="s">
        <v>40</v>
      </c>
      <c r="D15" s="1" t="s">
        <v>79</v>
      </c>
      <c r="E15" s="1" t="s">
        <v>80</v>
      </c>
    </row>
    <row r="16" spans="1:5" x14ac:dyDescent="0.2">
      <c r="A16" s="1" t="s">
        <v>81</v>
      </c>
      <c r="B16" s="1" t="s">
        <v>82</v>
      </c>
      <c r="C16" s="1" t="s">
        <v>83</v>
      </c>
      <c r="D16" s="1" t="s">
        <v>84</v>
      </c>
      <c r="E16" s="1" t="s">
        <v>85</v>
      </c>
    </row>
    <row r="17" spans="1:5" x14ac:dyDescent="0.2">
      <c r="A17" s="1" t="s">
        <v>86</v>
      </c>
      <c r="B17" s="1" t="s">
        <v>82</v>
      </c>
      <c r="C17" s="1" t="s">
        <v>34</v>
      </c>
      <c r="D17" s="1" t="s">
        <v>87</v>
      </c>
      <c r="E17" s="1" t="s">
        <v>88</v>
      </c>
    </row>
    <row r="18" spans="1:5" x14ac:dyDescent="0.2">
      <c r="A18" s="1" t="s">
        <v>89</v>
      </c>
      <c r="B18" s="1" t="s">
        <v>82</v>
      </c>
      <c r="C18" s="1" t="s">
        <v>90</v>
      </c>
      <c r="D18" s="1" t="s">
        <v>91</v>
      </c>
      <c r="E18" s="1" t="s">
        <v>92</v>
      </c>
    </row>
    <row r="19" spans="1:5" x14ac:dyDescent="0.2">
      <c r="A19" s="1" t="s">
        <v>93</v>
      </c>
      <c r="B19" s="1" t="s">
        <v>82</v>
      </c>
      <c r="C19" s="1" t="s">
        <v>94</v>
      </c>
      <c r="D19" s="1" t="s">
        <v>95</v>
      </c>
      <c r="E19" s="1" t="s">
        <v>96</v>
      </c>
    </row>
    <row r="20" spans="1:5" x14ac:dyDescent="0.2">
      <c r="A20" s="1" t="s">
        <v>97</v>
      </c>
      <c r="B20" s="1" t="s">
        <v>82</v>
      </c>
      <c r="C20" s="1" t="s">
        <v>40</v>
      </c>
      <c r="D20" s="1" t="s">
        <v>98</v>
      </c>
      <c r="E20" s="1" t="s">
        <v>99</v>
      </c>
    </row>
    <row r="21" spans="1:5" x14ac:dyDescent="0.2">
      <c r="A21" s="1" t="s">
        <v>100</v>
      </c>
      <c r="B21" s="1" t="s">
        <v>82</v>
      </c>
      <c r="C21" s="1" t="s">
        <v>101</v>
      </c>
      <c r="D21" s="1" t="s">
        <v>102</v>
      </c>
      <c r="E21" s="1" t="s">
        <v>103</v>
      </c>
    </row>
    <row r="22" spans="1:5" x14ac:dyDescent="0.2">
      <c r="A22" s="1" t="s">
        <v>104</v>
      </c>
      <c r="B22" s="1" t="s">
        <v>82</v>
      </c>
      <c r="C22" s="1" t="s">
        <v>105</v>
      </c>
      <c r="D22" s="1" t="s">
        <v>106</v>
      </c>
      <c r="E22" s="1" t="s">
        <v>107</v>
      </c>
    </row>
    <row r="23" spans="1:5" x14ac:dyDescent="0.2">
      <c r="A23" s="1" t="s">
        <v>108</v>
      </c>
      <c r="B23" s="1" t="s">
        <v>109</v>
      </c>
      <c r="C23" s="1" t="s">
        <v>101</v>
      </c>
      <c r="D23" s="1" t="s">
        <v>110</v>
      </c>
      <c r="E23" s="1" t="s">
        <v>111</v>
      </c>
    </row>
    <row r="24" spans="1:5" x14ac:dyDescent="0.2">
      <c r="A24" s="1" t="s">
        <v>188</v>
      </c>
    </row>
    <row r="25" spans="1:5" x14ac:dyDescent="0.2">
      <c r="A25" s="1" t="s">
        <v>189</v>
      </c>
    </row>
    <row r="26" spans="1:5" x14ac:dyDescent="0.2">
      <c r="A26" s="1" t="s">
        <v>190</v>
      </c>
    </row>
  </sheetData>
  <autoFilter ref="A1:E1" xr:uid="{00000000-0009-0000-0000-000003000000}">
    <sortState xmlns:xlrd2="http://schemas.microsoft.com/office/spreadsheetml/2017/richdata2" ref="A2:E24">
      <sortCondition ref="B1:B24"/>
    </sortState>
  </autoFilter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workbookViewId="0">
      <selection activeCell="B11" sqref="B11"/>
    </sheetView>
  </sheetViews>
  <sheetFormatPr baseColWidth="10" defaultRowHeight="15" x14ac:dyDescent="0.2"/>
  <cols>
    <col min="1" max="1" width="8.1640625" bestFit="1" customWidth="1"/>
    <col min="2" max="2" width="41.6640625" bestFit="1" customWidth="1"/>
    <col min="3" max="3" width="50.1640625" bestFit="1" customWidth="1"/>
    <col min="4" max="4" width="86.33203125" bestFit="1" customWidth="1"/>
    <col min="5" max="5" width="90" bestFit="1" customWidth="1"/>
  </cols>
  <sheetData>
    <row r="1" spans="1:5" s="1" customFormat="1" ht="16" customHeight="1" x14ac:dyDescent="0.2">
      <c r="A1" s="4" t="s">
        <v>9</v>
      </c>
      <c r="B1" s="4" t="s">
        <v>3</v>
      </c>
      <c r="C1" s="4" t="s">
        <v>24</v>
      </c>
      <c r="D1" s="4" t="s">
        <v>25</v>
      </c>
      <c r="E1" s="4" t="s">
        <v>26</v>
      </c>
    </row>
    <row r="2" spans="1:5" s="1" customFormat="1" ht="16" customHeight="1" x14ac:dyDescent="0.2">
      <c r="A2" s="4" t="s">
        <v>112</v>
      </c>
      <c r="B2" s="4" t="s">
        <v>113</v>
      </c>
      <c r="C2" s="4" t="s">
        <v>114</v>
      </c>
      <c r="D2" s="4" t="s">
        <v>115</v>
      </c>
      <c r="E2" s="4" t="s">
        <v>116</v>
      </c>
    </row>
    <row r="3" spans="1:5" ht="16" x14ac:dyDescent="0.2">
      <c r="A3" s="4" t="s">
        <v>202</v>
      </c>
      <c r="B3" s="4" t="s">
        <v>201</v>
      </c>
      <c r="C3" s="4" t="s">
        <v>204</v>
      </c>
      <c r="D3" s="4" t="s">
        <v>205</v>
      </c>
      <c r="E3" s="4" t="s">
        <v>203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D26" sqref="D26"/>
    </sheetView>
  </sheetViews>
  <sheetFormatPr baseColWidth="10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CC04FF-BCEA-6444-AD1A-AB68393E16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GlobalETF</vt:lpstr>
      <vt:lpstr>GrowthEngine</vt:lpstr>
      <vt:lpstr>IncomeStrategy</vt:lpstr>
      <vt:lpstr>Gold</vt:lpstr>
      <vt:lpstr>Todo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 Kiat Koh</cp:lastModifiedBy>
  <dcterms:created xsi:type="dcterms:W3CDTF">2026-01-14T14:20:58Z</dcterms:created>
  <dcterms:modified xsi:type="dcterms:W3CDTF">2026-03-16T08:21:05Z</dcterms:modified>
</cp:coreProperties>
</file>