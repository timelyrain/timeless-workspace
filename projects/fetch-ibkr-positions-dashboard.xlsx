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hongkiatkoh/Developer/timeless-workspace/projects/"/>
    </mc:Choice>
  </mc:AlternateContent>
  <xr:revisionPtr revIDLastSave="0" documentId="13_ncr:1_{F35C69D2-CA22-0843-BFF6-B6E4BE9485E3}" xr6:coauthVersionLast="47" xr6:coauthVersionMax="47" xr10:uidLastSave="{00000000-0000-0000-0000-000000000000}"/>
  <bookViews>
    <workbookView xWindow="4120" yWindow="3000" windowWidth="38000" windowHeight="22840" xr2:uid="{00000000-000D-0000-FFFF-FFFF00000000}"/>
  </bookViews>
  <sheets>
    <sheet name="Dashboard" sheetId="1" r:id="rId1"/>
    <sheet name="GlobalETF" sheetId="2" r:id="rId2"/>
    <sheet name="GrowthEngine" sheetId="3" r:id="rId3"/>
    <sheet name="IncomeStrategy" sheetId="4" r:id="rId4"/>
    <sheet name="Gold" sheetId="5" r:id="rId5"/>
    <sheet name="Todo" sheetId="7" r:id="rId6"/>
  </sheets>
  <externalReferences>
    <externalReference r:id="rId7"/>
  </externalReferences>
  <definedNames>
    <definedName name="_xlnm._FilterDatabase" localSheetId="3" hidden="1">IncomeStrategy!$A$1:$E$1</definedName>
    <definedName name="ExternalData_1" localSheetId="0" hidden="1">Dashboard!$J$41:$K$46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F15" i="1"/>
  <c r="I17" i="1"/>
  <c r="F17" i="1"/>
  <c r="I21" i="1"/>
  <c r="F21" i="1"/>
  <c r="I11" i="1" a="1"/>
  <c r="I11" i="1" s="1"/>
  <c r="F11" i="1" a="1"/>
  <c r="F11" i="1" s="1"/>
  <c r="I19" i="1" a="1"/>
  <c r="I19" i="1" s="1"/>
  <c r="F19" i="1" a="1"/>
  <c r="F19" i="1" s="1"/>
  <c r="I16" i="1"/>
  <c r="F16" i="1"/>
  <c r="F14" i="1"/>
  <c r="I14" i="1"/>
  <c r="C24" i="1"/>
  <c r="K14" i="1" l="1"/>
  <c r="I13" i="1"/>
  <c r="I10" i="1"/>
  <c r="I9" i="1"/>
  <c r="F13" i="1"/>
  <c r="F10" i="1"/>
  <c r="F9" i="1"/>
  <c r="I23" i="1"/>
  <c r="F23" i="1"/>
  <c r="F4" i="1" a="1"/>
  <c r="F4" i="1" s="1"/>
  <c r="I22" i="1"/>
  <c r="F22" i="1"/>
  <c r="I20" i="1" a="1"/>
  <c r="I20" i="1" s="1"/>
  <c r="F20" i="1" a="1"/>
  <c r="F20" i="1" s="1"/>
  <c r="I12" i="1"/>
  <c r="F12" i="1"/>
  <c r="I8" i="1"/>
  <c r="F8" i="1"/>
  <c r="I7" i="1"/>
  <c r="F7" i="1"/>
  <c r="I6" i="1"/>
  <c r="F6" i="1"/>
  <c r="I5" i="1"/>
  <c r="F5" i="1"/>
  <c r="I4" i="1" a="1"/>
  <c r="I4" i="1" s="1"/>
  <c r="A58" i="1"/>
  <c r="A57" i="1"/>
  <c r="A56" i="1"/>
  <c r="A55" i="1"/>
  <c r="A54" i="1"/>
  <c r="A53" i="1"/>
  <c r="A52" i="1"/>
  <c r="H2" i="1" l="1"/>
  <c r="E2" i="1"/>
  <c r="K17" i="1"/>
  <c r="K9" i="1"/>
  <c r="G46" i="1"/>
  <c r="K23" i="1"/>
  <c r="K10" i="1"/>
  <c r="K8" i="1"/>
  <c r="K7" i="1"/>
  <c r="K5" i="1"/>
  <c r="K6" i="1"/>
  <c r="K20" i="1"/>
  <c r="K21" i="1"/>
  <c r="K22" i="1"/>
  <c r="K12" i="1"/>
  <c r="K13" i="1"/>
  <c r="K15" i="1"/>
  <c r="K16" i="1"/>
  <c r="K19" i="1"/>
  <c r="K4" i="1"/>
  <c r="C57" i="1" l="1"/>
  <c r="C56" i="1"/>
  <c r="C58" i="1"/>
  <c r="C55" i="1"/>
  <c r="C54" i="1"/>
  <c r="C52" i="1"/>
  <c r="H21" i="1"/>
  <c r="H20" i="1"/>
  <c r="H19" i="1"/>
  <c r="J19" i="1" s="1"/>
  <c r="H23" i="1"/>
  <c r="H22" i="1"/>
  <c r="H11" i="1"/>
  <c r="H4" i="1"/>
  <c r="H9" i="1" s="1"/>
  <c r="J9" i="1" s="1"/>
  <c r="K11" i="1"/>
  <c r="C53" i="1" l="1"/>
  <c r="E20" i="1"/>
  <c r="G20" i="1" s="1"/>
  <c r="E21" i="1"/>
  <c r="G21" i="1" s="1"/>
  <c r="H17" i="1"/>
  <c r="J17" i="1" s="1"/>
  <c r="H14" i="1"/>
  <c r="J14" i="1" s="1"/>
  <c r="H16" i="1"/>
  <c r="J16" i="1" s="1"/>
  <c r="H12" i="1"/>
  <c r="J12" i="1" s="1"/>
  <c r="H15" i="1"/>
  <c r="J15" i="1" s="1"/>
  <c r="H13" i="1"/>
  <c r="J13" i="1" s="1"/>
  <c r="G22" i="1"/>
  <c r="J22" i="1"/>
  <c r="J11" i="1"/>
  <c r="G23" i="1"/>
  <c r="J23" i="1"/>
  <c r="E23" i="1"/>
  <c r="G42" i="1"/>
  <c r="M11" i="1" s="1"/>
  <c r="E22" i="1"/>
  <c r="E11" i="1"/>
  <c r="E19" i="1"/>
  <c r="G19" i="1" s="1"/>
  <c r="E4" i="1"/>
  <c r="E9" i="1" s="1"/>
  <c r="G9" i="1" s="1"/>
  <c r="H7" i="1"/>
  <c r="J7" i="1" s="1"/>
  <c r="H6" i="1"/>
  <c r="J6" i="1" s="1"/>
  <c r="H10" i="1"/>
  <c r="J10" i="1" s="1"/>
  <c r="J4" i="1"/>
  <c r="H5" i="1"/>
  <c r="J5" i="1" s="1"/>
  <c r="H8" i="1"/>
  <c r="J8" i="1" s="1"/>
  <c r="M4" i="1" l="1"/>
  <c r="M23" i="1"/>
  <c r="M22" i="1"/>
  <c r="M21" i="1"/>
  <c r="M20" i="1"/>
  <c r="M19" i="1"/>
  <c r="D20" i="1"/>
  <c r="D21" i="1"/>
  <c r="E17" i="1"/>
  <c r="G17" i="1" s="1"/>
  <c r="E14" i="1"/>
  <c r="G14" i="1" s="1"/>
  <c r="E12" i="1"/>
  <c r="G12" i="1" s="1"/>
  <c r="E15" i="1"/>
  <c r="G15" i="1" s="1"/>
  <c r="E16" i="1"/>
  <c r="G16" i="1" s="1"/>
  <c r="E13" i="1"/>
  <c r="G13" i="1" s="1"/>
  <c r="G11" i="1"/>
  <c r="J20" i="1"/>
  <c r="G44" i="1"/>
  <c r="H43" i="1" s="1"/>
  <c r="H45" i="1"/>
  <c r="D23" i="1"/>
  <c r="D11" i="1"/>
  <c r="D22" i="1"/>
  <c r="D4" i="1"/>
  <c r="D9" i="1" s="1"/>
  <c r="D19" i="1"/>
  <c r="E10" i="1"/>
  <c r="G10" i="1" s="1"/>
  <c r="E8" i="1"/>
  <c r="G8" i="1" s="1"/>
  <c r="E5" i="1"/>
  <c r="G5" i="1" s="1"/>
  <c r="E7" i="1"/>
  <c r="G7" i="1" s="1"/>
  <c r="E6" i="1"/>
  <c r="G6" i="1" s="1"/>
  <c r="G4" i="1"/>
  <c r="J21" i="1"/>
  <c r="D17" i="1" l="1"/>
  <c r="D14" i="1"/>
  <c r="B53" i="1"/>
  <c r="D12" i="1"/>
  <c r="D13" i="1"/>
  <c r="D16" i="1"/>
  <c r="D15" i="1"/>
  <c r="B58" i="1"/>
  <c r="B54" i="1"/>
  <c r="B52" i="1"/>
  <c r="D7" i="1"/>
  <c r="D8" i="1"/>
  <c r="D6" i="1"/>
  <c r="D5" i="1"/>
  <c r="D10" i="1"/>
  <c r="B57" i="1"/>
  <c r="B56" i="1" l="1"/>
  <c r="B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Kiat Koh</author>
  </authors>
  <commentList>
    <comment ref="F4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Reads all tickers from the GlobalETF sheet column A
</t>
        </r>
        <r>
          <rPr>
            <sz val="11"/>
            <color rgb="FF000000"/>
            <rFont val="Calibri"/>
            <family val="2"/>
          </rPr>
          <t xml:space="preserve">Looks for matching symbols in PositionsHK column F
</t>
        </r>
        <r>
          <rPr>
            <sz val="11"/>
            <color rgb="FF000000"/>
            <rFont val="Calibri"/>
            <family val="2"/>
          </rPr>
          <t>Sums the corresponding PositionValue from column O</t>
        </r>
      </text>
    </comment>
    <comment ref="F19" authorId="0" shapeId="0" xr:uid="{251562D2-9ED7-E049-AAAA-9E660B8B838E}">
      <text>
        <r>
          <rPr>
            <b/>
            <sz val="10"/>
            <color rgb="FF000000"/>
            <rFont val="Tahoma"/>
            <family val="2"/>
          </rPr>
          <t>Hong Kiat Koh: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What it now does: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Sums all stocks from your IncomeStrategy list (covered calls, secured puts on these)
</t>
        </r>
        <r>
          <rPr>
            <sz val="10"/>
            <color rgb="FF000000"/>
            <rFont val="Tahoma"/>
            <family val="2"/>
          </rPr>
          <t xml:space="preserve">Adds all OPT positions (stock options income strategies)
</t>
        </r>
        <r>
          <rPr>
            <sz val="10"/>
            <color rgb="FF000000"/>
            <rFont val="Tahoma"/>
            <family val="2"/>
          </rPr>
          <t xml:space="preserve">Subtracts SPY options (these are insurance, go to F21)
</t>
        </r>
        <r>
          <rPr>
            <sz val="10"/>
            <color rgb="FF000000"/>
            <rFont val="Tahoma"/>
            <family val="2"/>
          </rPr>
          <t xml:space="preserve">Subtracts QQQ options (these are insurance, go to F21)
</t>
        </r>
        <r>
          <rPr>
            <sz val="10"/>
            <color rgb="FF000000"/>
            <rFont val="Tahoma"/>
            <family val="2"/>
          </rPr>
          <t xml:space="preserve">Adds all FOP positions (futures options income strategies like iron condors)
</t>
        </r>
        <r>
          <rPr>
            <sz val="10"/>
            <color rgb="FF000000"/>
            <rFont val="Tahoma"/>
            <family val="2"/>
          </rPr>
          <t xml:space="preserve">Subtracts SPY futures options (insurance)
</t>
        </r>
        <r>
          <rPr>
            <sz val="10"/>
            <color rgb="FF000000"/>
            <rFont val="Tahoma"/>
            <family val="2"/>
          </rPr>
          <t>Subtracts QQQ futures options (insurance)</t>
        </r>
      </text>
    </comment>
    <comment ref="F21" authorId="0" shapeId="0" xr:uid="{1EF5D387-E706-A04F-A297-0E5FA3B2C38F}">
      <text>
        <r>
          <rPr>
            <b/>
            <sz val="10"/>
            <color rgb="FF000000"/>
            <rFont val="Tahoma"/>
            <family val="2"/>
          </rPr>
          <t>Hong Kiat Koh: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SPY and QQQ bear spreads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683B01-22F0-6543-B99B-7200B6978CC9}" keepAlive="1" name="Query - Query" description="Connection to the 'Query' query in the workbook." type="5" refreshedVersion="0" background="1">
    <dbPr connection="Provider=Microsoft.Mashup.OleDb.1;Data Source=$Workbook$;Location=Query;Extended Properties=&quot;&quot;" command="SELECT * FROM [Query]"/>
  </connection>
  <connection id="2" xr16:uid="{5914EF22-6A21-1D49-88C8-84D4D4FFB99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<sst xmlns="http://schemas.openxmlformats.org/spreadsheetml/2006/main" count="282" uniqueCount="208">
  <si>
    <t>HK</t>
  </si>
  <si>
    <t>AL</t>
  </si>
  <si>
    <t>TOTAL</t>
  </si>
  <si>
    <t>Category</t>
  </si>
  <si>
    <t>Percent</t>
  </si>
  <si>
    <t>Target</t>
  </si>
  <si>
    <t>Actual Total</t>
  </si>
  <si>
    <t>Actual %</t>
  </si>
  <si>
    <t>Energy (INRA)</t>
  </si>
  <si>
    <t>Ticker</t>
  </si>
  <si>
    <t>CNY</t>
  </si>
  <si>
    <t>DHL</t>
  </si>
  <si>
    <t>EUR</t>
  </si>
  <si>
    <t>ES3</t>
  </si>
  <si>
    <t>SGD</t>
  </si>
  <si>
    <t>VWRA</t>
  </si>
  <si>
    <t>USD</t>
  </si>
  <si>
    <t>Primary Exchange</t>
  </si>
  <si>
    <t>AUM (USD)</t>
  </si>
  <si>
    <t>Exp. Ratio</t>
  </si>
  <si>
    <t>2025 Return</t>
  </si>
  <si>
    <t>Strategy Profile</t>
  </si>
  <si>
    <t>CSNDX</t>
  </si>
  <si>
    <t>HEAL</t>
  </si>
  <si>
    <t>INRA</t>
  </si>
  <si>
    <t>LOCK</t>
  </si>
  <si>
    <t>Best For</t>
  </si>
  <si>
    <t>2026 Profile</t>
  </si>
  <si>
    <t>Why It Works?</t>
  </si>
  <si>
    <t>SPY</t>
  </si>
  <si>
    <t>Broad Market</t>
  </si>
  <si>
    <t>All Strategies</t>
  </si>
  <si>
    <t>Tracks S&amp;P 500; ultra-liquid.</t>
  </si>
  <si>
    <t>Zero single-stock risk. Best for daily (0DTE) income and high-probability CSPs.</t>
  </si>
  <si>
    <t>ADBE</t>
  </si>
  <si>
    <t>Broad Tech</t>
  </si>
  <si>
    <t>Strangles</t>
  </si>
  <si>
    <t>High-margin AI creative tools.</t>
  </si>
  <si>
    <t>High share price; "smooth" price action with low spread slippage.</t>
  </si>
  <si>
    <t>AMD</t>
  </si>
  <si>
    <t>High retail volume; volatile.</t>
  </si>
  <si>
    <t>More affordable alternative to NVDA with high premium yield.</t>
  </si>
  <si>
    <t>CSP / Wheel</t>
  </si>
  <si>
    <t>CRM</t>
  </si>
  <si>
    <t>Subscription-based cash flow.</t>
  </si>
  <si>
    <t>Low downside risk due to recurring revenue stability.</t>
  </si>
  <si>
    <t>CSCO</t>
  </si>
  <si>
    <t>CSP / CC</t>
  </si>
  <si>
    <t>Defensive; bond-like value.</t>
  </si>
  <si>
    <t>Best for conservative traders looking for very high win rates.</t>
  </si>
  <si>
    <t>ORCL</t>
  </si>
  <si>
    <t>Massive cloud backlog.</t>
  </si>
  <si>
    <t>Higher volatility than MSFT, offering better Strangle returns.</t>
  </si>
  <si>
    <t>COST</t>
  </si>
  <si>
    <t>Consumer Staples</t>
  </si>
  <si>
    <t>CSP / Iron Condors</t>
  </si>
  <si>
    <t>Strong 8.2% net sales growth; high membership renewal rates; 20%+ digital sales growth in early FY2026.</t>
  </si>
  <si>
    <t>Differentiated membership model creates recurring revenue; bulk-buying value proposition is highly attractive to cost-conscious consumers during a recession.</t>
  </si>
  <si>
    <t>PEP</t>
  </si>
  <si>
    <t>CSP / Dividend Growth</t>
  </si>
  <si>
    <t>Targeting 4-6% revenue growth; record productivity savings from automation; 53+ years of consecutive dividend increases.</t>
  </si>
  <si>
    <t>High nearly 4% yield provides a price floor; inelastic demand for snacks/beverages offers stable cash flow even in downturns.</t>
  </si>
  <si>
    <t>WMT</t>
  </si>
  <si>
    <t>Global omnichannel leader with 27%+ e-commerce growth; expanding high-margin ad and membership streams.</t>
  </si>
  <si>
    <t>Defensive giant that gains market share during recessions as consumers "trade down" to its everyday low prices.</t>
  </si>
  <si>
    <t>XOM</t>
  </si>
  <si>
    <t>Energy</t>
  </si>
  <si>
    <t>Massive buybacks &amp; FCF.</t>
  </si>
  <si>
    <t>Corporate buybacks create a "synthetic floor" for put sellers.</t>
  </si>
  <si>
    <t>JPM</t>
  </si>
  <si>
    <t>Financials</t>
  </si>
  <si>
    <t>Fortress balance sheet; 15% ROE.</t>
  </si>
  <si>
    <t>The gold standard for the "Wheel" strategy in financials.</t>
  </si>
  <si>
    <t>V</t>
  </si>
  <si>
    <t>50%+ net profit margins.</t>
  </si>
  <si>
    <t>"Toll booth" business model provides exceptional price stability.</t>
  </si>
  <si>
    <t>LLY</t>
  </si>
  <si>
    <t>Healthcare</t>
  </si>
  <si>
    <t>GLP-1 (weight loss) drug leader.</t>
  </si>
  <si>
    <t>Growth-stock premiums in a historically stable sector.</t>
  </si>
  <si>
    <t>UNH</t>
  </si>
  <si>
    <t>High share price; steady FCF.</t>
  </si>
  <si>
    <t>High dollar-value premiums per contract; very liquid.</t>
  </si>
  <si>
    <t>AAPL</t>
  </si>
  <si>
    <t>Mag 7 / IT</t>
  </si>
  <si>
    <t>Covered Calls</t>
  </si>
  <si>
    <t>$4T market cap; Services growth.</t>
  </si>
  <si>
    <t>Tightest spreads in the market; perfect for low-risk "rent" collection.</t>
  </si>
  <si>
    <t>AMZN</t>
  </si>
  <si>
    <t>AWS/Ads driving 60% of profits.</t>
  </si>
  <si>
    <t>High range-bound predictability; resists sector-wide selloffs.</t>
  </si>
  <si>
    <t>GOOGL</t>
  </si>
  <si>
    <t>Iron Condors</t>
  </si>
  <si>
    <t>Cloud profit engine; range-bound.</t>
  </si>
  <si>
    <t>Predictable behavior between technical support/resistance levels.</t>
  </si>
  <si>
    <t>META</t>
  </si>
  <si>
    <t>Credit Spreads</t>
  </si>
  <si>
    <t>Robust buybacks; high net margins.</t>
  </si>
  <si>
    <t>Strong price momentum; high premium relative to its price.</t>
  </si>
  <si>
    <t>MSFT</t>
  </si>
  <si>
    <t>$30B+ quarterly net income.</t>
  </si>
  <si>
    <t>"Safety king"; high institutional support creates strong price floors.</t>
  </si>
  <si>
    <t>NVDA</t>
  </si>
  <si>
    <t>Strangles / CC</t>
  </si>
  <si>
    <t>High IV; $500B+ AI order backlog.</t>
  </si>
  <si>
    <t>Highest premium yield; deep liquidity for rolling trades.</t>
  </si>
  <si>
    <t>TSLA</t>
  </si>
  <si>
    <t>CC / CSP</t>
  </si>
  <si>
    <t>Extremely high IV; high beta.</t>
  </si>
  <si>
    <t>Maximum income potential; best for aggressive cost-basis reduction.</t>
  </si>
  <si>
    <t>QQQ</t>
  </si>
  <si>
    <t>Tech Index</t>
  </si>
  <si>
    <t>Tracks Nasdaq 100; higher IV than SPY.</t>
  </si>
  <si>
    <t>Captures tech growth volatility without the risk of a single company failing.</t>
  </si>
  <si>
    <t>GSD</t>
  </si>
  <si>
    <t>Physical Gold ETF (Bullion-backed)</t>
  </si>
  <si>
    <t>Wealth preservation &amp; Portfolio insurance</t>
  </si>
  <si>
    <t>Bullish Outlook: Price targets are pushing toward $5,000/oz by Q4 2026.</t>
  </si>
  <si>
    <t>Diversification: High liquidity and low correlation to traditional stocks.</t>
  </si>
  <si>
    <t>DHL (dividend)</t>
  </si>
  <si>
    <t>ES3 (singapore banks)</t>
  </si>
  <si>
    <t>VWRA (VT USD)</t>
  </si>
  <si>
    <t>Actual</t>
  </si>
  <si>
    <t>Total</t>
  </si>
  <si>
    <t>Invested</t>
  </si>
  <si>
    <t>Cash</t>
  </si>
  <si>
    <t xml:space="preserve">Actual % </t>
  </si>
  <si>
    <t>Currency</t>
  </si>
  <si>
    <t>WORLD (VT, no EM, hedged)</t>
  </si>
  <si>
    <t>CHF</t>
  </si>
  <si>
    <t>Nasdaq (EQCH, hedged)</t>
  </si>
  <si>
    <t>Global Triads (the strategic core)</t>
  </si>
  <si>
    <t>Four Horsemen (growth engine)</t>
  </si>
  <si>
    <t>The Vault (Gold)</t>
  </si>
  <si>
    <t>The War Chest (Cash)</t>
  </si>
  <si>
    <t>WORLD</t>
  </si>
  <si>
    <t>XMME</t>
  </si>
  <si>
    <t>Focus and Sector</t>
  </si>
  <si>
    <t>Expense Ratio</t>
  </si>
  <si>
    <t>Investment Strategy Profile</t>
  </si>
  <si>
    <t>AUM</t>
  </si>
  <si>
    <t>1 Year Returns</t>
  </si>
  <si>
    <t>~CNY 1.45B</t>
  </si>
  <si>
    <t>N/A</t>
  </si>
  <si>
    <t>+29.64%</t>
  </si>
  <si>
    <t>0.30%</t>
  </si>
  <si>
    <t>~SGD 2.4B</t>
  </si>
  <si>
    <t>+34.03%</t>
  </si>
  <si>
    <t>0.19%</t>
  </si>
  <si>
    <t>~USD 51.5B</t>
  </si>
  <si>
    <t>+22.49%</t>
  </si>
  <si>
    <t>0.55%</t>
  </si>
  <si>
    <t>~CHF 981M</t>
  </si>
  <si>
    <t>+13.29%</t>
  </si>
  <si>
    <t>0.18%</t>
  </si>
  <si>
    <t>~CHF 7.85B</t>
  </si>
  <si>
    <t>+14.72%</t>
  </si>
  <si>
    <t>Deutsche Post AG - logistics/freight)</t>
  </si>
  <si>
    <t>EQCH</t>
  </si>
  <si>
    <t>CBUK</t>
  </si>
  <si>
    <t>Germany</t>
  </si>
  <si>
    <t>Swiss</t>
  </si>
  <si>
    <t>Netherlands</t>
  </si>
  <si>
    <t>Country</t>
  </si>
  <si>
    <t>UK</t>
  </si>
  <si>
    <t>1.1b</t>
  </si>
  <si>
    <t>2.1b</t>
  </si>
  <si>
    <t>600m</t>
  </si>
  <si>
    <t>22.5b</t>
  </si>
  <si>
    <t>686m</t>
  </si>
  <si>
    <t>1.0b</t>
  </si>
  <si>
    <t>1.6b</t>
  </si>
  <si>
    <t>CurrencyPrimary</t>
  </si>
  <si>
    <t>Total Value USD</t>
  </si>
  <si>
    <t>CNH</t>
  </si>
  <si>
    <t>The Omega (insurance, SPY and QQQ bear spreads)</t>
  </si>
  <si>
    <t>The Alpha (theme stocks)</t>
  </si>
  <si>
    <t>Cash Cow (income Strategy, wheel/CSPs/CC/callOpts)</t>
  </si>
  <si>
    <t xml:space="preserve">Singapore Blue-Chip Equities </t>
  </si>
  <si>
    <t>China Large &amp; Mid-Cap Equities</t>
  </si>
  <si>
    <t>CSI 300 Index</t>
  </si>
  <si>
    <t>integrated freight &amp; logistics company. Dividend yield ~4.5%</t>
  </si>
  <si>
    <t>Straits Times Index 30 Singapore companies including DBS, OCBC, UOB</t>
  </si>
  <si>
    <t>Global All-World Equities</t>
  </si>
  <si>
    <t>Developed + Emerging Markets, ~3,900 holdings across 50 countries</t>
  </si>
  <si>
    <t>Developed Markets Equities</t>
  </si>
  <si>
    <t>Emerging Markets Equities</t>
  </si>
  <si>
    <t>large &amp; mid-cap stocks from 24 emerging market countries</t>
  </si>
  <si>
    <t>MSCI World Index, CHF-hedged, Large &amp; Mid-Cap stocks 23 developed countries</t>
  </si>
  <si>
    <t xml:space="preserve">China Tech (CBUK, unhedged) </t>
  </si>
  <si>
    <t>Actual % of Total</t>
  </si>
  <si>
    <t>Cash vs Invested</t>
  </si>
  <si>
    <t>Portfolio Allocation</t>
  </si>
  <si>
    <t>Core</t>
  </si>
  <si>
    <t>Growth</t>
  </si>
  <si>
    <t>Income</t>
  </si>
  <si>
    <t>Theme</t>
  </si>
  <si>
    <t>Insurance</t>
  </si>
  <si>
    <t>Gold</t>
  </si>
  <si>
    <t>CMG</t>
  </si>
  <si>
    <t>NFLX</t>
  </si>
  <si>
    <t>SMH</t>
  </si>
  <si>
    <t>Nasdaq (CSNDX)</t>
  </si>
  <si>
    <t>GRDU</t>
  </si>
  <si>
    <t>Energy (GRDU)</t>
  </si>
  <si>
    <t>XMME (EM, unhedged) - india 18%</t>
  </si>
  <si>
    <t>China Robotics (2807.HK)</t>
  </si>
  <si>
    <t>China CSI300 (82846)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</si>
</sst>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&quot;$&quot;* #,##0_);_(&quot;$&quot;* \(#,##0\);_(&quot;$&quot;* &quot;-&quot;??_);_(@_)"/>
    <numFmt numFmtId="166" formatCode="_(* #,##0_);_(* \(#,##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onsolas"/>
      <family val="2"/>
    </font>
    <font>
      <b/>
      <sz val="12"/>
      <color theme="1"/>
      <name val="Consolas"/>
      <family val="2"/>
    </font>
    <font>
      <sz val="12"/>
      <color rgb="FF1F1F1F"/>
      <name val="Consolas"/>
      <family val="2"/>
    </font>
    <font>
      <i/>
      <sz val="12"/>
      <color theme="1"/>
      <name val="Consolas"/>
      <family val="2"/>
    </font>
    <font>
      <i/>
      <sz val="10"/>
      <color theme="1"/>
      <name val="Consolas"/>
      <family val="2"/>
    </font>
    <font>
      <sz val="11"/>
      <color rgb="FF000000"/>
      <name val="Calibri"/>
      <family val="2"/>
    </font>
    <font>
      <i/>
      <sz val="12"/>
      <color theme="1" tint="0.14999847407452621"/>
      <name val="Consolas"/>
      <family val="2"/>
    </font>
    <font>
      <b/>
      <sz val="12"/>
      <name val="Consolas"/>
      <family val="2"/>
    </font>
    <font>
      <sz val="10"/>
      <color theme="1"/>
      <name val="Consolas"/>
      <family val="2"/>
    </font>
    <font>
      <b/>
      <sz val="10"/>
      <color theme="1"/>
      <name val="Consolas"/>
      <family val="2"/>
    </font>
    <font>
      <sz val="9"/>
      <color theme="1"/>
      <name val="Consolas"/>
      <family val="2"/>
    </font>
    <font>
      <sz val="10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scheme val="minor"/>
    </font>
    <font>
      <i/>
      <sz val="12"/>
      <color rgb="FFFF0000"/>
      <name val="Consola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1" fillId="0" borderId="0"/>
    <xf numFmtId="9" fontId="1" fillId="0" borderId="0"/>
    <xf numFmtId="43" fontId="1" fillId="0" borderId="0" applyFont="0" applyFill="0" applyBorder="0" applyAlignment="0" applyProtection="0"/>
  </cellStyleXfs>
  <cellXfs count="59">
    <xf numFmtId="0" fontId="0" fillId="0" borderId="0" xfId="0"/>
    <xf numFmtId="0" fontId="2" fillId="0" borderId="0" xfId="0" applyFont="1"/>
    <xf numFmtId="10" fontId="2" fillId="0" borderId="0" xfId="0" applyNumberFormat="1" applyFont="1"/>
    <xf numFmtId="44" fontId="2" fillId="0" borderId="0" xfId="0" applyNumberFormat="1" applyFont="1"/>
    <xf numFmtId="0" fontId="2" fillId="0" borderId="2" xfId="0" applyFont="1" applyBorder="1"/>
    <xf numFmtId="0" fontId="2" fillId="0" borderId="3" xfId="0" applyFont="1" applyBorder="1"/>
    <xf numFmtId="164" fontId="2" fillId="0" borderId="3" xfId="0" applyNumberFormat="1" applyFont="1" applyBorder="1"/>
    <xf numFmtId="44" fontId="2" fillId="0" borderId="3" xfId="0" applyNumberFormat="1" applyFont="1" applyBorder="1"/>
    <xf numFmtId="9" fontId="2" fillId="0" borderId="0" xfId="2" applyFont="1"/>
    <xf numFmtId="0" fontId="6" fillId="0" borderId="0" xfId="0" applyFont="1"/>
    <xf numFmtId="0" fontId="3" fillId="0" borderId="1" xfId="0" applyFont="1" applyBorder="1" applyAlignment="1">
      <alignment horizontal="center"/>
    </xf>
    <xf numFmtId="0" fontId="10" fillId="0" borderId="0" xfId="0" applyFont="1"/>
    <xf numFmtId="0" fontId="11" fillId="0" borderId="0" xfId="0" applyFont="1"/>
    <xf numFmtId="165" fontId="11" fillId="0" borderId="0" xfId="1" applyNumberFormat="1" applyFont="1"/>
    <xf numFmtId="165" fontId="11" fillId="0" borderId="0" xfId="0" applyNumberFormat="1" applyFont="1"/>
    <xf numFmtId="0" fontId="12" fillId="0" borderId="0" xfId="0" applyFont="1"/>
    <xf numFmtId="166" fontId="10" fillId="0" borderId="0" xfId="3" applyNumberFormat="1" applyFont="1"/>
    <xf numFmtId="10" fontId="13" fillId="0" borderId="0" xfId="2" applyNumberFormat="1" applyFont="1"/>
    <xf numFmtId="165" fontId="3" fillId="0" borderId="0" xfId="1" applyNumberFormat="1" applyFont="1"/>
    <xf numFmtId="165" fontId="8" fillId="0" borderId="0" xfId="1" applyNumberFormat="1" applyFont="1"/>
    <xf numFmtId="0" fontId="3" fillId="0" borderId="5" xfId="0" applyFont="1" applyBorder="1"/>
    <xf numFmtId="44" fontId="3" fillId="0" borderId="5" xfId="1" applyFont="1" applyBorder="1"/>
    <xf numFmtId="44" fontId="2" fillId="0" borderId="0" xfId="1" applyFont="1"/>
    <xf numFmtId="0" fontId="3" fillId="0" borderId="4" xfId="0" applyFont="1" applyBorder="1" applyAlignment="1">
      <alignment horizontal="center"/>
    </xf>
    <xf numFmtId="165" fontId="3" fillId="0" borderId="5" xfId="1" applyNumberFormat="1" applyFont="1" applyBorder="1"/>
    <xf numFmtId="165" fontId="8" fillId="0" borderId="5" xfId="1" applyNumberFormat="1" applyFont="1" applyBorder="1"/>
    <xf numFmtId="165" fontId="3" fillId="0" borderId="4" xfId="1" applyNumberFormat="1" applyFont="1" applyBorder="1"/>
    <xf numFmtId="0" fontId="2" fillId="0" borderId="7" xfId="0" applyFont="1" applyBorder="1"/>
    <xf numFmtId="44" fontId="2" fillId="0" borderId="7" xfId="1" applyFont="1" applyBorder="1"/>
    <xf numFmtId="0" fontId="3" fillId="0" borderId="8" xfId="0" applyFont="1" applyBorder="1" applyAlignment="1">
      <alignment horizontal="center"/>
    </xf>
    <xf numFmtId="9" fontId="3" fillId="0" borderId="7" xfId="2" applyFont="1" applyBorder="1"/>
    <xf numFmtId="9" fontId="8" fillId="0" borderId="7" xfId="2" applyFont="1" applyBorder="1"/>
    <xf numFmtId="9" fontId="3" fillId="0" borderId="8" xfId="2" applyFont="1" applyBorder="1"/>
    <xf numFmtId="0" fontId="2" fillId="0" borderId="9" xfId="0" applyFont="1" applyBorder="1"/>
    <xf numFmtId="0" fontId="3" fillId="0" borderId="6" xfId="0" applyFont="1" applyBorder="1"/>
    <xf numFmtId="0" fontId="3" fillId="0" borderId="9" xfId="0" applyFont="1" applyBorder="1"/>
    <xf numFmtId="0" fontId="5" fillId="0" borderId="9" xfId="0" applyFont="1" applyBorder="1" applyAlignment="1">
      <alignment horizontal="left" indent="4"/>
    </xf>
    <xf numFmtId="0" fontId="2" fillId="0" borderId="5" xfId="0" applyFont="1" applyBorder="1"/>
    <xf numFmtId="165" fontId="3" fillId="0" borderId="5" xfId="0" applyNumberFormat="1" applyFont="1" applyBorder="1"/>
    <xf numFmtId="165" fontId="8" fillId="0" borderId="5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0" fontId="5" fillId="0" borderId="0" xfId="0" applyFont="1" applyAlignment="1">
      <alignment horizontal="left" indent="4"/>
    </xf>
    <xf numFmtId="164" fontId="3" fillId="0" borderId="0" xfId="2" applyNumberFormat="1" applyFont="1"/>
    <xf numFmtId="164" fontId="8" fillId="0" borderId="0" xfId="2" applyNumberFormat="1" applyFont="1"/>
    <xf numFmtId="165" fontId="9" fillId="2" borderId="1" xfId="1" applyNumberFormat="1" applyFont="1" applyFill="1" applyBorder="1" applyAlignment="1">
      <alignment horizontal="right"/>
    </xf>
    <xf numFmtId="165" fontId="1" fillId="0" borderId="0" xfId="1" applyNumberFormat="1"/>
    <xf numFmtId="0" fontId="16" fillId="0" borderId="0" xfId="0" applyFont="1"/>
    <xf numFmtId="0" fontId="3" fillId="0" borderId="0" xfId="0" applyFont="1" applyAlignment="1">
      <alignment horizontal="left" indent="4"/>
    </xf>
    <xf numFmtId="164" fontId="16" fillId="0" borderId="10" xfId="2" applyNumberFormat="1" applyFont="1" applyBorder="1" applyAlignment="1">
      <alignment horizontal="center"/>
    </xf>
    <xf numFmtId="164" fontId="16" fillId="0" borderId="7" xfId="2" applyNumberFormat="1" applyFont="1" applyBorder="1" applyAlignment="1">
      <alignment horizontal="center"/>
    </xf>
    <xf numFmtId="164" fontId="16" fillId="0" borderId="8" xfId="2" applyNumberFormat="1" applyFont="1" applyBorder="1" applyAlignment="1">
      <alignment horizontal="center"/>
    </xf>
    <xf numFmtId="165" fontId="3" fillId="0" borderId="5" xfId="0" applyNumberFormat="1" applyFont="1" applyBorder="1" applyAlignment="1">
      <alignment horizontal="center"/>
    </xf>
    <xf numFmtId="165" fontId="8" fillId="0" borderId="5" xfId="0" applyNumberFormat="1" applyFont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0" fontId="4" fillId="0" borderId="0" xfId="0" applyFont="1"/>
    <xf numFmtId="0" fontId="17" fillId="0" borderId="9" xfId="0" applyFont="1" applyBorder="1" applyAlignment="1">
      <alignment horizontal="left" indent="4"/>
    </xf>
    <xf numFmtId="0" fontId="3" fillId="0" borderId="4" xfId="0" applyFont="1" applyBorder="1" applyAlignment="1">
      <alignment horizontal="center"/>
    </xf>
    <xf numFmtId="0" fontId="3" fillId="0" borderId="8" xfId="0" applyFont="1" applyBorder="1" applyAlignment="1">
      <alignment horizontal="center"/>
    </xf>
  </cellXfs>
  <cellStyles count="4">
    <cellStyle name="Comma" xfId="3" builtinId="3"/>
    <cellStyle name="Currency" xfId="1" builtinId="4"/>
    <cellStyle name="Normal" xfId="0" builtinId="0"/>
    <cellStyle name="Per cent" xfId="2" builtinId="5"/>
  </cellStyles>
  <dxfs count="22"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numFmt numFmtId="165" formatCode="_(&quot;$&quot;* #,##0_);_(&quot;$&quot;* \(#,##0\);_(&quot;$&quot;* &quot;-&quot;??_);_(@_)"/>
    </dxf>
    <dxf>
      <font>
        <b/>
      </font>
    </dxf>
  </dxfs>
  <tableStyles count="0" defaultTableStyle="TableStyleMedium9" defaultPivotStyle="PivotStyleLight16"/>
  <colors>
    <mruColors>
      <color rgb="FFFF7E79"/>
      <color rgb="FFFF2600"/>
      <color rgb="FFFFFD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Dashboard!$B$51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Dashboard!$A$52:$A$58</c:f>
              <c:strCache>
                <c:ptCount val="7"/>
                <c:pt idx="0">
                  <c:v>Global Triads (the strategic core)</c:v>
                </c:pt>
                <c:pt idx="1">
                  <c:v>Four Horsemen (growth engine)</c:v>
                </c:pt>
                <c:pt idx="2">
                  <c:v>Cash Cow (income Strategy, wheel/CSPs/CC/callOpts)</c:v>
                </c:pt>
                <c:pt idx="3">
                  <c:v>The Alpha (theme stocks)</c:v>
                </c:pt>
                <c:pt idx="4">
                  <c:v>The Omega (insurance, SPY and QQQ bear spreads)</c:v>
                </c:pt>
                <c:pt idx="5">
                  <c:v>The Vault (Gold)</c:v>
                </c:pt>
                <c:pt idx="6">
                  <c:v>The War Chest (Cash)</c:v>
                </c:pt>
              </c:strCache>
            </c:strRef>
          </c:cat>
          <c:val>
            <c:numRef>
              <c:f>Dashboard!$B$52:$B$58</c:f>
              <c:numCache>
                <c:formatCode>_("$"* #,##0_);_("$"* \(#,##0\);_("$"* "-"??_);_(@_)</c:formatCode>
                <c:ptCount val="7"/>
                <c:pt idx="0">
                  <c:v>502604.56847499998</c:v>
                </c:pt>
                <c:pt idx="1">
                  <c:v>201041.82738999999</c:v>
                </c:pt>
                <c:pt idx="2">
                  <c:v>201041.82738999999</c:v>
                </c:pt>
                <c:pt idx="3">
                  <c:v>30156.274108499998</c:v>
                </c:pt>
                <c:pt idx="4">
                  <c:v>20104.182739</c:v>
                </c:pt>
                <c:pt idx="5">
                  <c:v>50260.456847499998</c:v>
                </c:pt>
                <c:pt idx="6">
                  <c:v>50260.456847499998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EB-B049-85E5-F5553A4B093C}"/>
            </c:ext>
          </c:extLst>
        </c:ser>
        <c:ser>
          <c:idx val="1"/>
          <c:order val="1"/>
          <c:tx>
            <c:strRef>
              <c:f>Dashboard!$C$51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Dashboard!$A$52:$A$58</c:f>
              <c:strCache>
                <c:ptCount val="7"/>
                <c:pt idx="0">
                  <c:v>Global Triads (the strategic core)</c:v>
                </c:pt>
                <c:pt idx="1">
                  <c:v>Four Horsemen (growth engine)</c:v>
                </c:pt>
                <c:pt idx="2">
                  <c:v>Cash Cow (income Strategy, wheel/CSPs/CC/callOpts)</c:v>
                </c:pt>
                <c:pt idx="3">
                  <c:v>The Alpha (theme stocks)</c:v>
                </c:pt>
                <c:pt idx="4">
                  <c:v>The Omega (insurance, SPY and QQQ bear spreads)</c:v>
                </c:pt>
                <c:pt idx="5">
                  <c:v>The Vault (Gold)</c:v>
                </c:pt>
                <c:pt idx="6">
                  <c:v>The War Chest (Cash)</c:v>
                </c:pt>
              </c:strCache>
            </c:strRef>
          </c:cat>
          <c:val>
            <c:numRef>
              <c:f>Dashboard!$C$52:$C$58</c:f>
              <c:numCache>
                <c:formatCode>_("$"* #,##0_);_("$"* \(#,##0\);_("$"* "-"??_);_(@_)</c:formatCode>
                <c:ptCount val="7"/>
                <c:pt idx="0">
                  <c:v>385495.53649999999</c:v>
                </c:pt>
                <c:pt idx="1">
                  <c:v>212281.10440000001</c:v>
                </c:pt>
                <c:pt idx="2">
                  <c:v>104807.22</c:v>
                </c:pt>
                <c:pt idx="3">
                  <c:v>14637.170000000056</c:v>
                </c:pt>
                <c:pt idx="4">
                  <c:v>13792.48</c:v>
                </c:pt>
                <c:pt idx="5">
                  <c:v>46333.246050000002</c:v>
                </c:pt>
                <c:pt idx="6">
                  <c:v>227862.38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EB-B049-85E5-F5553A4B09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87657343"/>
        <c:axId val="687667199"/>
      </c:barChart>
      <c:catAx>
        <c:axId val="68765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67199"/>
        <c:crosses val="autoZero"/>
        <c:auto val="1"/>
        <c:lblAlgn val="ctr"/>
        <c:lblOffset val="100"/>
        <c:noMultiLvlLbl val="0"/>
      </c:catAx>
      <c:valAx>
        <c:axId val="687667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57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7CA-4240-A0C1-E5FBA5DBA144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57CA-4240-A0C1-E5FBA5DBA144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57CA-4240-A0C1-E5FBA5DBA144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57CA-4240-A0C1-E5FBA5DBA1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(Dashboard!$G$43,Dashboard!$G$45)</c:f>
              <c:strCache>
                <c:ptCount val="2"/>
                <c:pt idx="0">
                  <c:v>Invested</c:v>
                </c:pt>
                <c:pt idx="1">
                  <c:v>Cash</c:v>
                </c:pt>
              </c:strCache>
            </c:strRef>
          </c:cat>
          <c:val>
            <c:numRef>
              <c:f>(Dashboard!$H$43,Dashboard!$H$45)</c:f>
              <c:numCache>
                <c:formatCode>0.00%</c:formatCode>
                <c:ptCount val="2"/>
                <c:pt idx="0">
                  <c:v>0.77331843531448707</c:v>
                </c:pt>
                <c:pt idx="1">
                  <c:v>0.2266815646855129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CA-4240-A0C1-E5FBA5DBA144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Dashboard!$K$41</c:f>
              <c:strCache>
                <c:ptCount val="1"/>
                <c:pt idx="0">
                  <c:v>Total Value USD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7AB-6144-B7D4-D5E33E9380E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7AB-6144-B7D4-D5E33E9380E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7AB-6144-B7D4-D5E33E9380E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7AB-6144-B7D4-D5E33E9380E8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7AB-6144-B7D4-D5E33E9380E8}"/>
              </c:ext>
            </c:extLst>
          </c:dPt>
          <c:dLbls>
            <c:dLbl>
              <c:idx val="0"/>
              <c:layout>
                <c:manualLayout>
                  <c:x val="-0.21536521793716484"/>
                  <c:y val="-5.144192034124735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AB-6144-B7D4-D5E33E9380E8}"/>
                </c:ext>
              </c:extLst>
            </c:dLbl>
            <c:dLbl>
              <c:idx val="4"/>
              <c:layout>
                <c:manualLayout>
                  <c:x val="-1.2048192771084338E-2"/>
                  <c:y val="0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AB-6144-B7D4-D5E33E9380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Dashboard!$J$42:$J$46</c:f>
              <c:strCache>
                <c:ptCount val="5"/>
                <c:pt idx="0">
                  <c:v>USD</c:v>
                </c:pt>
                <c:pt idx="1">
                  <c:v>CHF</c:v>
                </c:pt>
                <c:pt idx="2">
                  <c:v>EUR</c:v>
                </c:pt>
                <c:pt idx="3">
                  <c:v>SGD</c:v>
                </c:pt>
                <c:pt idx="4">
                  <c:v>CNH</c:v>
                </c:pt>
              </c:strCache>
            </c:strRef>
          </c:cat>
          <c:val>
            <c:numRef>
              <c:f>Dashboard!$K$42:$K$46</c:f>
              <c:numCache>
                <c:formatCode>_("$"* #,##0_);_("$"* \(#,##0\);_("$"* "-"??_);_(@_)</c:formatCode>
                <c:ptCount val="5"/>
                <c:pt idx="0">
                  <c:v>365115.64</c:v>
                </c:pt>
                <c:pt idx="1">
                  <c:v>127769.98974999999</c:v>
                </c:pt>
                <c:pt idx="2">
                  <c:v>99402.54</c:v>
                </c:pt>
                <c:pt idx="3">
                  <c:v>70588.302949999998</c:v>
                </c:pt>
                <c:pt idx="4">
                  <c:v>18152.184000000001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B-6144-B7D4-D5E33E9380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B79-724A-AB6E-048CA154099D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BAD-AD48-8C0D-73135ACD6630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BAD-AD48-8C0D-73135ACD6630}"/>
              </c:ext>
            </c:extLst>
          </c:dPt>
          <c:dPt>
            <c:idx val="3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AD-AD48-8C0D-73135ACD6630}"/>
              </c:ext>
            </c:extLst>
          </c:dPt>
          <c:dPt>
            <c:idx val="4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AD-AD48-8C0D-73135ACD6630}"/>
              </c:ext>
            </c:extLst>
          </c:dPt>
          <c:dPt>
            <c:idx val="5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BAD-AD48-8C0D-73135ACD66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BAD-AD48-8C0D-73135ACD6630}"/>
              </c:ext>
            </c:extLst>
          </c:dPt>
          <c:dPt>
            <c:idx val="7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B79-724A-AB6E-048CA154099D}"/>
              </c:ext>
            </c:extLst>
          </c:dPt>
          <c:dPt>
            <c:idx val="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BAD-AD48-8C0D-73135ACD6630}"/>
              </c:ext>
            </c:extLst>
          </c:dPt>
          <c:dPt>
            <c:idx val="9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BAD-AD48-8C0D-73135ACD6630}"/>
              </c:ext>
            </c:extLst>
          </c:dPt>
          <c:dPt>
            <c:idx val="1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BAD-AD48-8C0D-73135ACD6630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BAD-AD48-8C0D-73135ACD663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BAD-AD48-8C0D-73135ACD6630}"/>
              </c:ext>
            </c:extLst>
          </c:dPt>
          <c:dPt>
            <c:idx val="13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BAD-AD48-8C0D-73135ACD6630}"/>
              </c:ext>
            </c:extLst>
          </c:dPt>
          <c:dPt>
            <c:idx val="1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BAD-AD48-8C0D-73135ACD6630}"/>
              </c:ext>
            </c:extLst>
          </c:dPt>
          <c:dPt>
            <c:idx val="15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5B79-724A-AB6E-048CA154099D}"/>
              </c:ext>
            </c:extLst>
          </c:dPt>
          <c:dPt>
            <c:idx val="1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B79-724A-AB6E-048CA154099D}"/>
              </c:ext>
            </c:extLst>
          </c:dPt>
          <c:dPt>
            <c:idx val="17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B79-724A-AB6E-048CA154099D}"/>
              </c:ext>
            </c:extLst>
          </c:dPt>
          <c:dPt>
            <c:idx val="1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B79-724A-AB6E-048CA154099D}"/>
              </c:ext>
            </c:extLst>
          </c:dPt>
          <c:dPt>
            <c:idx val="19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B79-724A-AB6E-048CA154099D}"/>
              </c:ext>
            </c:extLst>
          </c:dPt>
          <c:dLbls>
            <c:dLbl>
              <c:idx val="0"/>
              <c:layout>
                <c:manualLayout>
                  <c:x val="-0.21761658031088082"/>
                  <c:y val="8.1545064377682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898100172711571"/>
                      <c:h val="0.1176394849785407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5B79-724A-AB6E-048CA154099D}"/>
                </c:ext>
              </c:extLst>
            </c:dLbl>
            <c:dLbl>
              <c:idx val="7"/>
              <c:layout>
                <c:manualLayout>
                  <c:x val="-3.6269294058449947E-2"/>
                  <c:y val="-0.163090128755364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6542314335060446"/>
                      <c:h val="0.1176394849785407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5B79-724A-AB6E-048CA154099D}"/>
                </c:ext>
              </c:extLst>
            </c:dLbl>
            <c:dLbl>
              <c:idx val="15"/>
              <c:layout>
                <c:manualLayout>
                  <c:x val="1.2052137550602785E-2"/>
                  <c:y val="-4.72103004291844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36443501557124"/>
                      <c:h val="8.14163090128755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5B79-724A-AB6E-048CA154099D}"/>
                </c:ext>
              </c:extLst>
            </c:dLbl>
            <c:dLbl>
              <c:idx val="16"/>
              <c:layout>
                <c:manualLayout>
                  <c:x val="3.184416566573246E-3"/>
                  <c:y val="1.710959413335127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63196091452424"/>
                      <c:h val="7.472103004291845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5B79-724A-AB6E-048CA154099D}"/>
                </c:ext>
              </c:extLst>
            </c:dLbl>
            <c:dLbl>
              <c:idx val="17"/>
              <c:layout>
                <c:manualLayout>
                  <c:x val="1.0442991708264583E-7"/>
                  <c:y val="-1.931313575073510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6953372545299309"/>
                      <c:h val="8.570815450643776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5B79-724A-AB6E-048CA154099D}"/>
                </c:ext>
              </c:extLst>
            </c:dLbl>
            <c:dLbl>
              <c:idx val="18"/>
              <c:layout>
                <c:manualLayout>
                  <c:x val="0.18072289156626506"/>
                  <c:y val="-4.2918454935622317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B79-724A-AB6E-048CA154099D}"/>
                </c:ext>
              </c:extLst>
            </c:dLbl>
            <c:dLbl>
              <c:idx val="19"/>
              <c:layout>
                <c:manualLayout>
                  <c:x val="0.17789319081228835"/>
                  <c:y val="0.2060085836909871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556131260794474"/>
                      <c:h val="0.1176394849785407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5B79-724A-AB6E-048CA15409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Dashboard!$L$4:$L$23</c:f>
              <c:strCache>
                <c:ptCount val="20"/>
                <c:pt idx="0">
                  <c:v> Core </c:v>
                </c:pt>
                <c:pt idx="7">
                  <c:v> Growth </c:v>
                </c:pt>
                <c:pt idx="15">
                  <c:v> Income </c:v>
                </c:pt>
                <c:pt idx="16">
                  <c:v> Theme </c:v>
                </c:pt>
                <c:pt idx="17">
                  <c:v> Insurance </c:v>
                </c:pt>
                <c:pt idx="18">
                  <c:v> Gold </c:v>
                </c:pt>
                <c:pt idx="19">
                  <c:v> Cash </c:v>
                </c:pt>
              </c:strCache>
            </c:strRef>
          </c:cat>
          <c:val>
            <c:numRef>
              <c:f>Dashboard!$M$4:$M$23</c:f>
              <c:numCache>
                <c:formatCode>0.0%</c:formatCode>
                <c:ptCount val="20"/>
                <c:pt idx="0">
                  <c:v>0.38349784371207413</c:v>
                </c:pt>
                <c:pt idx="7">
                  <c:v>0.21118103347538422</c:v>
                </c:pt>
                <c:pt idx="15">
                  <c:v>0.10426409405509932</c:v>
                </c:pt>
                <c:pt idx="16">
                  <c:v>1.4561318099845448E-2</c:v>
                </c:pt>
                <c:pt idx="17">
                  <c:v>1.3721005403760124E-2</c:v>
                </c:pt>
                <c:pt idx="18">
                  <c:v>4.6093140568324004E-2</c:v>
                </c:pt>
                <c:pt idx="19">
                  <c:v>0.2266815646855129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79-724A-AB6E-048CA154099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146050</xdr:colOff>
      <xdr:row>24</xdr:row>
      <xdr:rowOff>101600</xdr:rowOff>
    </xdr:from>
    <xdr:to>
      <xdr:col>5</xdr:col>
      <xdr:colOff>1219200</xdr:colOff>
      <xdr:row>48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F781D2-B9A2-D72A-0057-2784E88FE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88900</xdr:colOff>
      <xdr:row>24</xdr:row>
      <xdr:rowOff>88900</xdr:rowOff>
    </xdr:from>
    <xdr:to>
      <xdr:col>9</xdr:col>
      <xdr:colOff>12700</xdr:colOff>
      <xdr:row>38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697EC8-4EFA-6C90-F231-0485031FE2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127000</xdr:colOff>
      <xdr:row>24</xdr:row>
      <xdr:rowOff>88900</xdr:rowOff>
    </xdr:from>
    <xdr:to>
      <xdr:col>11</xdr:col>
      <xdr:colOff>723900</xdr:colOff>
      <xdr:row>38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25DA06-7701-0962-2EB5-AF549B736A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838200</xdr:colOff>
      <xdr:row>24</xdr:row>
      <xdr:rowOff>76200</xdr:rowOff>
    </xdr:from>
    <xdr:to>
      <xdr:col>13</xdr:col>
      <xdr:colOff>2540000</xdr:colOff>
      <xdr:row>38</xdr:row>
      <xdr:rowOff>190500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48D7753-1E15-54B3-C615-05E9F6A133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ongkiatkoh/Developer/timeless-workspace/projects/fetch-ibkr-positions.xlsx" TargetMode="External"/><Relationship Id="rId1" Type="http://schemas.openxmlformats.org/officeDocument/2006/relationships/externalLinkPath" Target="fetch-ibkr-posi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sitionsHK"/>
      <sheetName val="PositionsAL"/>
      <sheetName val="Summary"/>
      <sheetName val="Metadata"/>
    </sheetNames>
    <sheetDataSet>
      <sheetData sheetId="0">
        <row r="1">
          <cell r="D1" t="str">
            <v>AssetClass</v>
          </cell>
          <cell r="F1" t="str">
            <v>Symbol</v>
          </cell>
          <cell r="V1" t="str">
            <v>PositionValueUSD</v>
          </cell>
        </row>
        <row r="2">
          <cell r="D2" t="str">
            <v>STK</v>
          </cell>
          <cell r="F2" t="str">
            <v>EQCH</v>
          </cell>
          <cell r="V2">
            <v>25722.762999999999</v>
          </cell>
        </row>
        <row r="3">
          <cell r="D3" t="str">
            <v>STK</v>
          </cell>
          <cell r="F3" t="str">
            <v>WORLD</v>
          </cell>
          <cell r="V3">
            <v>34494.157499999987</v>
          </cell>
        </row>
        <row r="4">
          <cell r="D4" t="str">
            <v>STK</v>
          </cell>
          <cell r="F4" t="str">
            <v>XMME</v>
          </cell>
          <cell r="V4">
            <v>25692.466799999998</v>
          </cell>
        </row>
        <row r="5">
          <cell r="D5" t="str">
            <v>STK</v>
          </cell>
          <cell r="F5" t="str">
            <v>82846</v>
          </cell>
          <cell r="V5">
            <v>13657.116</v>
          </cell>
        </row>
        <row r="6">
          <cell r="D6" t="str">
            <v>STK</v>
          </cell>
          <cell r="F6" t="str">
            <v>CBUK</v>
          </cell>
          <cell r="V6">
            <v>20772.2592</v>
          </cell>
        </row>
        <row r="7">
          <cell r="D7" t="str">
            <v>STK</v>
          </cell>
          <cell r="F7" t="str">
            <v>ES3</v>
          </cell>
          <cell r="V7">
            <v>31638.751199999999</v>
          </cell>
        </row>
        <row r="8">
          <cell r="D8" t="str">
            <v>STK</v>
          </cell>
          <cell r="F8" t="str">
            <v>GSD</v>
          </cell>
          <cell r="V8">
            <v>23166.623025000001</v>
          </cell>
        </row>
        <row r="9">
          <cell r="D9" t="str">
            <v>STK</v>
          </cell>
          <cell r="F9" t="str">
            <v>BITO</v>
          </cell>
          <cell r="V9">
            <v>936</v>
          </cell>
        </row>
        <row r="10">
          <cell r="D10" t="str">
            <v>STK</v>
          </cell>
          <cell r="F10" t="str">
            <v>CELH</v>
          </cell>
          <cell r="V10">
            <v>2416</v>
          </cell>
        </row>
        <row r="11">
          <cell r="D11" t="str">
            <v>STK</v>
          </cell>
          <cell r="F11" t="str">
            <v>CHA</v>
          </cell>
          <cell r="V11">
            <v>1034</v>
          </cell>
        </row>
        <row r="12">
          <cell r="D12" t="str">
            <v>STK</v>
          </cell>
          <cell r="F12" t="str">
            <v>CSNDX</v>
          </cell>
          <cell r="V12">
            <v>21465</v>
          </cell>
        </row>
        <row r="13">
          <cell r="D13" t="str">
            <v>STK</v>
          </cell>
          <cell r="F13" t="str">
            <v>GOOGL</v>
          </cell>
          <cell r="V13">
            <v>31498</v>
          </cell>
        </row>
        <row r="14">
          <cell r="D14" t="str">
            <v>STK</v>
          </cell>
          <cell r="F14" t="str">
            <v>GRDU</v>
          </cell>
          <cell r="V14">
            <v>4860</v>
          </cell>
        </row>
        <row r="15">
          <cell r="D15" t="str">
            <v>STK</v>
          </cell>
          <cell r="F15" t="str">
            <v>HEAL</v>
          </cell>
          <cell r="V15">
            <v>9140</v>
          </cell>
        </row>
        <row r="16">
          <cell r="D16" t="str">
            <v>STK</v>
          </cell>
          <cell r="F16" t="str">
            <v>INRA</v>
          </cell>
          <cell r="V16">
            <v>10733.03</v>
          </cell>
        </row>
        <row r="17">
          <cell r="D17" t="str">
            <v>STK</v>
          </cell>
          <cell r="F17" t="str">
            <v>LKNCY</v>
          </cell>
          <cell r="V17">
            <v>3890</v>
          </cell>
        </row>
        <row r="18">
          <cell r="D18" t="str">
            <v>STK</v>
          </cell>
          <cell r="F18" t="str">
            <v>LOCK</v>
          </cell>
          <cell r="V18">
            <v>9870</v>
          </cell>
        </row>
        <row r="19">
          <cell r="D19" t="str">
            <v>STK</v>
          </cell>
          <cell r="F19" t="str">
            <v>ORCL</v>
          </cell>
          <cell r="V19">
            <v>14808</v>
          </cell>
        </row>
        <row r="20">
          <cell r="D20" t="str">
            <v>STK</v>
          </cell>
          <cell r="F20" t="str">
            <v>SE</v>
          </cell>
          <cell r="V20">
            <v>2300</v>
          </cell>
        </row>
        <row r="21">
          <cell r="D21" t="str">
            <v>STK</v>
          </cell>
          <cell r="F21" t="str">
            <v>VWRA</v>
          </cell>
          <cell r="V21">
            <v>35320</v>
          </cell>
        </row>
        <row r="22">
          <cell r="D22" t="str">
            <v>OPT</v>
          </cell>
          <cell r="F22" t="str">
            <v>QQQ   261218P00560000</v>
          </cell>
          <cell r="V22">
            <v>5729.78</v>
          </cell>
        </row>
        <row r="23">
          <cell r="D23" t="str">
            <v>OPT</v>
          </cell>
          <cell r="F23" t="str">
            <v>SPY   261218P00620000</v>
          </cell>
          <cell r="V23">
            <v>4307.18</v>
          </cell>
        </row>
        <row r="24">
          <cell r="D24" t="str">
            <v>OPT</v>
          </cell>
          <cell r="F24" t="str">
            <v>GOOGL 260306C00325000</v>
          </cell>
          <cell r="V24">
            <v>-375</v>
          </cell>
        </row>
        <row r="25">
          <cell r="D25" t="str">
            <v>OPT</v>
          </cell>
          <cell r="F25" t="str">
            <v>GOOGL 260327P00300000</v>
          </cell>
          <cell r="V25">
            <v>-635</v>
          </cell>
        </row>
        <row r="26">
          <cell r="D26" t="str">
            <v>OPT</v>
          </cell>
          <cell r="F26" t="str">
            <v>IWM   260227P00257000</v>
          </cell>
          <cell r="V26">
            <v>-234</v>
          </cell>
        </row>
        <row r="27">
          <cell r="D27" t="str">
            <v>OPT</v>
          </cell>
          <cell r="F27" t="str">
            <v>IWM   260227C00277000</v>
          </cell>
          <cell r="V27">
            <v>-15</v>
          </cell>
        </row>
        <row r="28">
          <cell r="D28" t="str">
            <v>OPT</v>
          </cell>
          <cell r="F28" t="str">
            <v>NVDA  260227P00175000</v>
          </cell>
          <cell r="V28">
            <v>-301</v>
          </cell>
        </row>
        <row r="29">
          <cell r="D29" t="str">
            <v>OPT</v>
          </cell>
          <cell r="F29" t="str">
            <v>ORCL  260227P00140000</v>
          </cell>
          <cell r="V29">
            <v>-246.5</v>
          </cell>
        </row>
        <row r="30">
          <cell r="D30" t="str">
            <v>OPT</v>
          </cell>
          <cell r="F30" t="str">
            <v>ORCL  260306C00165000</v>
          </cell>
          <cell r="V30">
            <v>-167</v>
          </cell>
        </row>
        <row r="31">
          <cell r="D31" t="str">
            <v>OPT</v>
          </cell>
          <cell r="F31" t="str">
            <v>QQQ   261218P00425000</v>
          </cell>
          <cell r="V31">
            <v>-1561.72</v>
          </cell>
        </row>
        <row r="32">
          <cell r="D32" t="str">
            <v>OPT</v>
          </cell>
          <cell r="F32" t="str">
            <v>SMH   260227P00377500</v>
          </cell>
          <cell r="V32">
            <v>-290.22000000000003</v>
          </cell>
        </row>
        <row r="33">
          <cell r="D33" t="str">
            <v>OPT</v>
          </cell>
          <cell r="F33" t="str">
            <v>SMH   260227C00437500</v>
          </cell>
          <cell r="V33">
            <v>-352</v>
          </cell>
        </row>
        <row r="34">
          <cell r="D34" t="str">
            <v>OPT</v>
          </cell>
          <cell r="F34" t="str">
            <v>SPY   261218P00505000</v>
          </cell>
          <cell r="V34">
            <v>-1579</v>
          </cell>
        </row>
      </sheetData>
      <sheetData sheetId="1">
        <row r="1">
          <cell r="D1" t="str">
            <v>AssetClass</v>
          </cell>
          <cell r="F1" t="str">
            <v>Symbol</v>
          </cell>
          <cell r="V1" t="str">
            <v>PositionValueUSD</v>
          </cell>
        </row>
        <row r="2">
          <cell r="D2" t="str">
            <v>STK</v>
          </cell>
          <cell r="F2" t="str">
            <v>EQCH</v>
          </cell>
          <cell r="V2">
            <v>25722.762999999999</v>
          </cell>
        </row>
        <row r="3">
          <cell r="D3" t="str">
            <v>STK</v>
          </cell>
          <cell r="F3" t="str">
            <v>WORLD</v>
          </cell>
          <cell r="V3">
            <v>41392.988999999987</v>
          </cell>
        </row>
        <row r="4">
          <cell r="D4" t="str">
            <v>STK</v>
          </cell>
          <cell r="F4" t="str">
            <v>XMME</v>
          </cell>
          <cell r="V4">
            <v>42820.777999999998</v>
          </cell>
        </row>
        <row r="5">
          <cell r="D5" t="str">
            <v>STK</v>
          </cell>
          <cell r="F5" t="str">
            <v>82846</v>
          </cell>
          <cell r="V5">
            <v>9104.7440000000006</v>
          </cell>
        </row>
        <row r="6">
          <cell r="D6" t="str">
            <v>STK</v>
          </cell>
          <cell r="F6" t="str">
            <v>CBUK</v>
          </cell>
          <cell r="V6">
            <v>20772.2592</v>
          </cell>
        </row>
        <row r="7">
          <cell r="D7" t="str">
            <v>STK</v>
          </cell>
          <cell r="F7" t="str">
            <v>DHL</v>
          </cell>
          <cell r="V7">
            <v>58846.094999999987</v>
          </cell>
        </row>
        <row r="8">
          <cell r="D8" t="str">
            <v>STK</v>
          </cell>
          <cell r="F8" t="str">
            <v>ES3</v>
          </cell>
          <cell r="V8">
            <v>39548.438999999998</v>
          </cell>
        </row>
        <row r="9">
          <cell r="D9" t="str">
            <v>STK</v>
          </cell>
          <cell r="F9" t="str">
            <v>GSD</v>
          </cell>
          <cell r="V9">
            <v>23166.623025000001</v>
          </cell>
        </row>
        <row r="10">
          <cell r="D10" t="str">
            <v>STK</v>
          </cell>
          <cell r="F10" t="str">
            <v>BITO</v>
          </cell>
          <cell r="V10">
            <v>2808</v>
          </cell>
        </row>
        <row r="11">
          <cell r="D11" t="str">
            <v>STK</v>
          </cell>
          <cell r="F11" t="str">
            <v>CSNDX</v>
          </cell>
          <cell r="V11">
            <v>28620</v>
          </cell>
        </row>
        <row r="12">
          <cell r="D12" t="str">
            <v>STK</v>
          </cell>
          <cell r="F12" t="str">
            <v>GOOGL</v>
          </cell>
          <cell r="V12">
            <v>31498</v>
          </cell>
        </row>
        <row r="13">
          <cell r="D13" t="str">
            <v>STK</v>
          </cell>
          <cell r="F13" t="str">
            <v>GRDU</v>
          </cell>
          <cell r="V13">
            <v>4860</v>
          </cell>
        </row>
        <row r="14">
          <cell r="D14" t="str">
            <v>STK</v>
          </cell>
          <cell r="F14" t="str">
            <v>HEAL</v>
          </cell>
          <cell r="V14">
            <v>9140</v>
          </cell>
        </row>
        <row r="15">
          <cell r="D15" t="str">
            <v>STK</v>
          </cell>
          <cell r="F15" t="str">
            <v>IBKR</v>
          </cell>
          <cell r="V15">
            <v>1253.17</v>
          </cell>
        </row>
        <row r="16">
          <cell r="D16" t="str">
            <v>STK</v>
          </cell>
          <cell r="F16" t="str">
            <v>INRA</v>
          </cell>
          <cell r="V16">
            <v>10733.03</v>
          </cell>
        </row>
        <row r="17">
          <cell r="D17" t="str">
            <v>STK</v>
          </cell>
          <cell r="F17" t="str">
            <v>JPM</v>
          </cell>
          <cell r="V17">
            <v>31079</v>
          </cell>
        </row>
        <row r="18">
          <cell r="D18" t="str">
            <v>STK</v>
          </cell>
          <cell r="F18" t="str">
            <v>LOCK</v>
          </cell>
          <cell r="V18">
            <v>9870</v>
          </cell>
        </row>
        <row r="19">
          <cell r="D19" t="str">
            <v>STK</v>
          </cell>
          <cell r="F19" t="str">
            <v>VWRA</v>
          </cell>
          <cell r="V19">
            <v>52980</v>
          </cell>
        </row>
        <row r="20">
          <cell r="D20" t="str">
            <v>OPT</v>
          </cell>
          <cell r="F20" t="str">
            <v>QQQ   261218P00560000</v>
          </cell>
          <cell r="V20">
            <v>5729.78</v>
          </cell>
        </row>
        <row r="21">
          <cell r="D21" t="str">
            <v>OPT</v>
          </cell>
          <cell r="F21" t="str">
            <v>SPY   261218P00620000</v>
          </cell>
          <cell r="V21">
            <v>4307.18</v>
          </cell>
        </row>
        <row r="22">
          <cell r="D22" t="str">
            <v>OPT</v>
          </cell>
          <cell r="F22" t="str">
            <v>GOOGL 260304P00295000</v>
          </cell>
          <cell r="V22">
            <v>-140.91</v>
          </cell>
        </row>
        <row r="23">
          <cell r="D23" t="str">
            <v>OPT</v>
          </cell>
          <cell r="F23" t="str">
            <v>IWM   260227P00257000</v>
          </cell>
          <cell r="V23">
            <v>-234</v>
          </cell>
        </row>
        <row r="24">
          <cell r="D24" t="str">
            <v>OPT</v>
          </cell>
          <cell r="F24" t="str">
            <v>IWM   260227C00277000</v>
          </cell>
          <cell r="V24">
            <v>-15</v>
          </cell>
        </row>
        <row r="25">
          <cell r="D25" t="str">
            <v>OPT</v>
          </cell>
          <cell r="F25" t="str">
            <v>JPM   260327C00325000</v>
          </cell>
          <cell r="V25">
            <v>-427.93</v>
          </cell>
        </row>
        <row r="26">
          <cell r="D26" t="str">
            <v>OPT</v>
          </cell>
          <cell r="F26" t="str">
            <v>QQQ   261218P00425000</v>
          </cell>
          <cell r="V26">
            <v>-1561.72</v>
          </cell>
        </row>
        <row r="27">
          <cell r="D27" t="str">
            <v>OPT</v>
          </cell>
          <cell r="F27" t="str">
            <v>SMH   260227P00377500</v>
          </cell>
          <cell r="V27">
            <v>-290.22000000000003</v>
          </cell>
        </row>
        <row r="28">
          <cell r="D28" t="str">
            <v>OPT</v>
          </cell>
          <cell r="F28" t="str">
            <v>SMH   260227C00437500</v>
          </cell>
          <cell r="V28">
            <v>-352</v>
          </cell>
        </row>
        <row r="29">
          <cell r="D29" t="str">
            <v>OPT</v>
          </cell>
          <cell r="F29" t="str">
            <v>SPY   261218P00505000</v>
          </cell>
          <cell r="V29">
            <v>-1579</v>
          </cell>
        </row>
      </sheetData>
      <sheetData sheetId="2">
        <row r="2">
          <cell r="C2" t="str">
            <v>$114,463.22</v>
          </cell>
        </row>
        <row r="3">
          <cell r="C3" t="str">
            <v>$113,399.16</v>
          </cell>
        </row>
      </sheetData>
      <sheetData sheetId="3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197A906-D222-4646-85E1-94A327E8C6E2}" autoFormatId="16" applyNumberFormats="0" applyBorderFormats="0" applyFontFormats="0" applyPatternFormats="0" applyAlignmentFormats="0" applyWidthHeightFormats="0">
  <queryTableRefresh nextId="3">
    <queryTableFields count="2">
      <queryTableField id="1" name="CurrencyPrimary" tableColumnId="1"/>
      <queryTableField id="2" name="Total Value USD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6ABF8-99C7-D448-B31B-76226AD3E31D}" name="Query__2" displayName="Query__2" ref="J41:K46" tableType="queryTable" totalsRowShown="0" headerRowDxfId="21">
  <autoFilter ref="J41:K46" xr:uid="{D0B6ABF8-99C7-D448-B31B-76226AD3E31D}"/>
  <tableColumns count="2">
    <tableColumn id="1" xr3:uid="{7DA33D05-B373-C040-923A-8735B8E52F38}" uniqueName="1" name="CurrencyPrimary" queryTableFieldId="1"/>
    <tableColumn id="2" xr3:uid="{6E5A9362-71B1-D549-A253-709ADB40623F}" uniqueName="2" name="Total Value USD" queryTableFieldId="2" dataDxfId="20" dataCellStyle="Currenc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8"/>
  <sheetViews>
    <sheetView showGridLines="0" tabSelected="1" zoomScaleNormal="100" workbookViewId="0">
      <selection activeCell="A17" sqref="A17"/>
    </sheetView>
  </sheetViews>
  <sheetFormatPr baseColWidth="10" defaultColWidth="38.6640625" defaultRowHeight="16" x14ac:dyDescent="0.2"/>
  <cols>
    <col min="1" max="1" width="61.83203125" style="1" bestFit="1" customWidth="1"/>
    <col min="2" max="2" width="10.5" style="1" bestFit="1" customWidth="1"/>
    <col min="3" max="3" width="9.5" style="1" bestFit="1" customWidth="1"/>
    <col min="4" max="4" width="12.83203125" style="1" bestFit="1" customWidth="1"/>
    <col min="5" max="6" width="16.5" style="1" bestFit="1" customWidth="1"/>
    <col min="7" max="7" width="11.6640625" style="1" bestFit="1" customWidth="1"/>
    <col min="8" max="9" width="16.5" style="1" bestFit="1" customWidth="1"/>
    <col min="10" max="10" width="17" style="1" customWidth="1"/>
    <col min="11" max="11" width="15.5" style="1" bestFit="1" customWidth="1"/>
    <col min="12" max="12" width="15.5" style="1" customWidth="1"/>
    <col min="13" max="13" width="21.1640625" style="1" bestFit="1" customWidth="1"/>
    <col min="14" max="16384" width="38.6640625" style="1"/>
  </cols>
  <sheetData>
    <row r="1" spans="1:13" x14ac:dyDescent="0.2">
      <c r="A1" s="33"/>
      <c r="E1" s="20" t="s">
        <v>0</v>
      </c>
      <c r="G1" s="27"/>
      <c r="H1" s="20" t="s">
        <v>1</v>
      </c>
      <c r="J1" s="27"/>
      <c r="K1" s="37"/>
      <c r="L1" s="37"/>
      <c r="M1" s="27"/>
    </row>
    <row r="2" spans="1:13" x14ac:dyDescent="0.2">
      <c r="A2" s="33" t="s">
        <v>2</v>
      </c>
      <c r="C2" s="8">
        <v>1</v>
      </c>
      <c r="E2" s="21">
        <f>F4+F11+F19+F22+F23+F20+F21</f>
        <v>442157.90672500001</v>
      </c>
      <c r="F2" s="22"/>
      <c r="G2" s="28"/>
      <c r="H2" s="21">
        <f>I4+I11+I19+I22+I23+I20+I21</f>
        <v>563051.23022499995</v>
      </c>
      <c r="I2" s="22"/>
      <c r="J2" s="28"/>
      <c r="K2" s="37"/>
      <c r="L2" s="37"/>
      <c r="M2" s="27"/>
    </row>
    <row r="3" spans="1:13" x14ac:dyDescent="0.2">
      <c r="A3" s="34" t="s">
        <v>3</v>
      </c>
      <c r="B3" s="41" t="s">
        <v>127</v>
      </c>
      <c r="C3" s="10" t="s">
        <v>4</v>
      </c>
      <c r="D3" s="10" t="s">
        <v>5</v>
      </c>
      <c r="E3" s="23" t="s">
        <v>5</v>
      </c>
      <c r="F3" s="10" t="s">
        <v>122</v>
      </c>
      <c r="G3" s="29" t="s">
        <v>126</v>
      </c>
      <c r="H3" s="23" t="s">
        <v>5</v>
      </c>
      <c r="I3" s="10" t="s">
        <v>122</v>
      </c>
      <c r="J3" s="29" t="s">
        <v>7</v>
      </c>
      <c r="K3" s="23" t="s">
        <v>6</v>
      </c>
      <c r="L3" s="57" t="s">
        <v>190</v>
      </c>
      <c r="M3" s="58"/>
    </row>
    <row r="4" spans="1:13" x14ac:dyDescent="0.2">
      <c r="A4" s="35" t="s">
        <v>131</v>
      </c>
      <c r="B4" s="42"/>
      <c r="C4" s="43">
        <v>0.5</v>
      </c>
      <c r="D4" s="18">
        <f>$G$42*C4</f>
        <v>502604.56847499998</v>
      </c>
      <c r="E4" s="24">
        <f>$E$2*C4</f>
        <v>221078.9533625</v>
      </c>
      <c r="F4" s="18" cm="1">
        <f t="array" ref="F4">SUMPRODUCT(SUMIFS([1]PositionsHK!V:V,[1]PositionsHK!F:F,GlobalETF!A:A))</f>
        <v>140802.4915</v>
      </c>
      <c r="G4" s="30">
        <f>F4/E4</f>
        <v>0.63688781477596457</v>
      </c>
      <c r="H4" s="24">
        <f>$H$2*C4</f>
        <v>281525.61511249997</v>
      </c>
      <c r="I4" s="18" cm="1">
        <f t="array" ref="I4">SUMPRODUCT(SUMIFS([1]PositionsAL!V:V,[1]PositionsAL!F:F,GlobalETF!A:A))</f>
        <v>244693.04499999998</v>
      </c>
      <c r="J4" s="30">
        <f>I4/H4</f>
        <v>0.86916796150935893</v>
      </c>
      <c r="K4" s="38">
        <f t="shared" ref="K4:K23" si="0">F4+I4</f>
        <v>385495.53649999999</v>
      </c>
      <c r="L4" s="52" t="s">
        <v>193</v>
      </c>
      <c r="M4" s="49">
        <f t="shared" ref="M4:M21" si="1">K4/$G$42</f>
        <v>0.38349784371207413</v>
      </c>
    </row>
    <row r="5" spans="1:13" x14ac:dyDescent="0.2">
      <c r="A5" s="36" t="s">
        <v>207</v>
      </c>
      <c r="B5" s="42" t="s">
        <v>10</v>
      </c>
      <c r="C5" s="44">
        <v>0.05</v>
      </c>
      <c r="D5" s="19">
        <f>$D$4*C5</f>
        <v>25130.228423749999</v>
      </c>
      <c r="E5" s="25">
        <f>$E$4*C5</f>
        <v>11053.947668125002</v>
      </c>
      <c r="F5" s="19">
        <f>SUMIFS([1]PositionsHK!V:V,[1]PositionsHK!F:F,"82846")</f>
        <v>13657.116</v>
      </c>
      <c r="G5" s="31">
        <f>F5/E5</f>
        <v>1.2354967121276914</v>
      </c>
      <c r="H5" s="25">
        <f>$H$4*C5</f>
        <v>14076.280755624999</v>
      </c>
      <c r="I5" s="19">
        <f>SUMIFS([1]PositionsAL!V:V,[1]PositionsAL!F:F,"82846")</f>
        <v>9104.7440000000006</v>
      </c>
      <c r="J5" s="31">
        <f>I5/H5</f>
        <v>0.64681460664683521</v>
      </c>
      <c r="K5" s="39">
        <f t="shared" ref="K5:K7" si="2">F5+I5</f>
        <v>22761.86</v>
      </c>
      <c r="L5" s="53"/>
      <c r="M5" s="50"/>
    </row>
    <row r="6" spans="1:13" x14ac:dyDescent="0.2">
      <c r="A6" s="36" t="s">
        <v>119</v>
      </c>
      <c r="B6" s="42" t="s">
        <v>12</v>
      </c>
      <c r="C6" s="44">
        <v>0.1</v>
      </c>
      <c r="D6" s="19">
        <f t="shared" ref="D6:D10" si="3">$D$4*C6</f>
        <v>50260.456847499998</v>
      </c>
      <c r="E6" s="25">
        <f t="shared" ref="E6:E10" si="4">$E$4*C6</f>
        <v>22107.895336250003</v>
      </c>
      <c r="F6" s="19">
        <f>SUMIFS([1]PositionsHK!V:V,[1]PositionsHK!F:F,"DHL")</f>
        <v>0</v>
      </c>
      <c r="G6" s="31">
        <f t="shared" ref="G6:G7" si="5">F6/E6</f>
        <v>0</v>
      </c>
      <c r="H6" s="25">
        <f t="shared" ref="H6:H10" si="6">$H$4*C6</f>
        <v>28152.561511249998</v>
      </c>
      <c r="I6" s="19">
        <f>SUMIFS([1]PositionsAL!V:V,[1]PositionsAL!F:F,"DHL")</f>
        <v>58846.094999999987</v>
      </c>
      <c r="J6" s="31">
        <f t="shared" ref="J6:J7" si="7">I6/H6</f>
        <v>2.0902572214071746</v>
      </c>
      <c r="K6" s="39">
        <f t="shared" si="2"/>
        <v>58846.094999999987</v>
      </c>
      <c r="L6" s="53"/>
      <c r="M6" s="50"/>
    </row>
    <row r="7" spans="1:13" x14ac:dyDescent="0.2">
      <c r="A7" s="36" t="s">
        <v>120</v>
      </c>
      <c r="B7" s="42" t="s">
        <v>14</v>
      </c>
      <c r="C7" s="44">
        <v>0.1</v>
      </c>
      <c r="D7" s="19">
        <f t="shared" si="3"/>
        <v>50260.456847499998</v>
      </c>
      <c r="E7" s="25">
        <f t="shared" si="4"/>
        <v>22107.895336250003</v>
      </c>
      <c r="F7" s="19">
        <f>SUMIFS([1]PositionsHK!V:V,[1]PositionsHK!F:F,"ES3")</f>
        <v>31638.751199999999</v>
      </c>
      <c r="G7" s="31">
        <f t="shared" si="5"/>
        <v>1.431106431380756</v>
      </c>
      <c r="H7" s="25">
        <f t="shared" si="6"/>
        <v>28152.561511249998</v>
      </c>
      <c r="I7" s="19">
        <f>SUMIFS([1]PositionsAL!V:V,[1]PositionsAL!F:F,"ES3")</f>
        <v>39548.438999999998</v>
      </c>
      <c r="J7" s="31">
        <f t="shared" si="7"/>
        <v>1.4047900751125653</v>
      </c>
      <c r="K7" s="39">
        <f t="shared" si="2"/>
        <v>71187.190199999997</v>
      </c>
      <c r="L7" s="53"/>
      <c r="M7" s="50"/>
    </row>
    <row r="8" spans="1:13" x14ac:dyDescent="0.2">
      <c r="A8" s="36" t="s">
        <v>121</v>
      </c>
      <c r="B8" s="42" t="s">
        <v>16</v>
      </c>
      <c r="C8" s="44">
        <v>0.3</v>
      </c>
      <c r="D8" s="19">
        <f t="shared" si="3"/>
        <v>150781.37054249999</v>
      </c>
      <c r="E8" s="25">
        <f t="shared" si="4"/>
        <v>66323.686008749995</v>
      </c>
      <c r="F8" s="19">
        <f>SUMIFS([1]PositionsHK!V:V,[1]PositionsHK!F:F,"VWRA")</f>
        <v>35320</v>
      </c>
      <c r="G8" s="31">
        <f>F8/E8</f>
        <v>0.53253976257200597</v>
      </c>
      <c r="H8" s="25">
        <f t="shared" si="6"/>
        <v>84457.684533749984</v>
      </c>
      <c r="I8" s="19">
        <f>SUMIFS([1]PositionsAL!V:V,[1]PositionsAL!F:F,"VWRA")</f>
        <v>52980</v>
      </c>
      <c r="J8" s="31">
        <f>I8/H8</f>
        <v>0.62729638270900923</v>
      </c>
      <c r="K8" s="39">
        <f>F8+I8</f>
        <v>88300</v>
      </c>
      <c r="L8" s="53"/>
      <c r="M8" s="50"/>
    </row>
    <row r="9" spans="1:13" x14ac:dyDescent="0.2">
      <c r="A9" s="36" t="s">
        <v>128</v>
      </c>
      <c r="B9" s="42" t="s">
        <v>129</v>
      </c>
      <c r="C9" s="44">
        <v>0.3</v>
      </c>
      <c r="D9" s="19">
        <f t="shared" ref="D9" si="8">$D$4*C9</f>
        <v>150781.37054249999</v>
      </c>
      <c r="E9" s="25">
        <f t="shared" ref="E9" si="9">$E$4*C9</f>
        <v>66323.686008749995</v>
      </c>
      <c r="F9" s="19">
        <f>SUMIFS([1]PositionsHK!V:V,[1]PositionsHK!F:F,"WORLD")</f>
        <v>34494.157499999987</v>
      </c>
      <c r="G9" s="31">
        <f>F9/E9</f>
        <v>0.52008806469907631</v>
      </c>
      <c r="H9" s="25">
        <f t="shared" ref="H9" si="10">$H$4*C9</f>
        <v>84457.684533749984</v>
      </c>
      <c r="I9" s="19">
        <f>SUMIFS([1]PositionsAL!V:V,[1]PositionsAL!F:F,"WORLD")</f>
        <v>41392.988999999987</v>
      </c>
      <c r="J9" s="31">
        <f>I9/H9</f>
        <v>0.49010328933963387</v>
      </c>
      <c r="K9" s="39">
        <f>F9+I9</f>
        <v>75887.146499999973</v>
      </c>
      <c r="L9" s="53"/>
      <c r="M9" s="50"/>
    </row>
    <row r="10" spans="1:13" x14ac:dyDescent="0.2">
      <c r="A10" s="36" t="s">
        <v>205</v>
      </c>
      <c r="B10" s="42" t="s">
        <v>129</v>
      </c>
      <c r="C10" s="44">
        <v>0.15</v>
      </c>
      <c r="D10" s="19">
        <f t="shared" si="3"/>
        <v>75390.685271249997</v>
      </c>
      <c r="E10" s="25">
        <f t="shared" si="4"/>
        <v>33161.843004374998</v>
      </c>
      <c r="F10" s="19">
        <f>SUMIFS([1]PositionsHK!V:V,[1]PositionsHK!F:F,"XMME")</f>
        <v>25692.466799999998</v>
      </c>
      <c r="G10" s="31">
        <f>F10/E10</f>
        <v>0.77475991900119745</v>
      </c>
      <c r="H10" s="25">
        <f t="shared" si="6"/>
        <v>42228.842266874992</v>
      </c>
      <c r="I10" s="19">
        <f>SUMIFS([1]PositionsAL!V:V,[1]PositionsAL!F:F,"XMME")</f>
        <v>42820.777999999998</v>
      </c>
      <c r="J10" s="31">
        <f>I10/H10</f>
        <v>1.0140173327363353</v>
      </c>
      <c r="K10" s="39">
        <f>F10+I10</f>
        <v>68513.2448</v>
      </c>
      <c r="L10" s="53"/>
      <c r="M10" s="50"/>
    </row>
    <row r="11" spans="1:13" x14ac:dyDescent="0.2">
      <c r="A11" s="35" t="s">
        <v>132</v>
      </c>
      <c r="B11" s="42"/>
      <c r="C11" s="43">
        <v>0.2</v>
      </c>
      <c r="D11" s="18">
        <f>$G$42*C11</f>
        <v>201041.82738999999</v>
      </c>
      <c r="E11" s="24">
        <f>$E$2*C11</f>
        <v>88431.581345000013</v>
      </c>
      <c r="F11" s="18" cm="1">
        <f t="array" ref="F11">SUMPRODUCT(SUMIFS([1]PositionsHK!V:V,[1]PositionsHK!F:F,GrowthEngine!A:A))</f>
        <v>102563.05220000001</v>
      </c>
      <c r="G11" s="30">
        <f>F11/E11</f>
        <v>1.1598011778152941</v>
      </c>
      <c r="H11" s="24">
        <f>$H$2*C11</f>
        <v>112610.24604499999</v>
      </c>
      <c r="I11" s="18" cm="1">
        <f t="array" ref="I11">SUMPRODUCT(SUMIFS([1]PositionsAL!V:V,[1]PositionsAL!F:F,GrowthEngine!A:A))</f>
        <v>109718.05220000001</v>
      </c>
      <c r="J11" s="30">
        <f>I11/H11</f>
        <v>0.9743167789204169</v>
      </c>
      <c r="K11" s="38">
        <f>F11+I11</f>
        <v>212281.10440000001</v>
      </c>
      <c r="L11" s="52" t="s">
        <v>194</v>
      </c>
      <c r="M11" s="50">
        <f t="shared" si="1"/>
        <v>0.21118103347538422</v>
      </c>
    </row>
    <row r="12" spans="1:13" x14ac:dyDescent="0.2">
      <c r="A12" s="36" t="s">
        <v>202</v>
      </c>
      <c r="B12" s="42" t="s">
        <v>16</v>
      </c>
      <c r="C12" s="44">
        <v>0.25</v>
      </c>
      <c r="D12" s="19">
        <f t="shared" ref="D12:D17" si="11">$D$11*C12</f>
        <v>50260.456847499998</v>
      </c>
      <c r="E12" s="25">
        <f t="shared" ref="E12:E15" si="12">$E$11*C12</f>
        <v>22107.895336250003</v>
      </c>
      <c r="F12" s="19">
        <f>SUMIFS([1]PositionsHK!V:V,[1]PositionsHK!F:F,"CSNDX")</f>
        <v>21465</v>
      </c>
      <c r="G12" s="31">
        <f>F12/E12</f>
        <v>0.9709201022317191</v>
      </c>
      <c r="H12" s="25">
        <f t="shared" ref="H12:H15" si="13">$H$11*C12</f>
        <v>28152.561511249998</v>
      </c>
      <c r="I12" s="19">
        <f>SUMIFS([1]PositionsAL!V:V,[1]PositionsAL!F:F,"CSNDX")</f>
        <v>28620</v>
      </c>
      <c r="J12" s="31">
        <f>I12/H12</f>
        <v>1.0166037640505008</v>
      </c>
      <c r="K12" s="39">
        <f t="shared" si="0"/>
        <v>50085</v>
      </c>
      <c r="L12" s="53"/>
      <c r="M12" s="50"/>
    </row>
    <row r="13" spans="1:13" x14ac:dyDescent="0.2">
      <c r="A13" s="36" t="s">
        <v>130</v>
      </c>
      <c r="B13" s="42" t="s">
        <v>129</v>
      </c>
      <c r="C13" s="44">
        <v>0.25</v>
      </c>
      <c r="D13" s="19">
        <f t="shared" si="11"/>
        <v>50260.456847499998</v>
      </c>
      <c r="E13" s="25">
        <f t="shared" si="12"/>
        <v>22107.895336250003</v>
      </c>
      <c r="F13" s="19">
        <f>SUMIFS([1]PositionsHK!V:V,[1]PositionsHK!F:F,"EQCH")</f>
        <v>25722.762999999999</v>
      </c>
      <c r="G13" s="31">
        <f t="shared" ref="G13:G15" si="14">F13/E13</f>
        <v>1.1635102577052077</v>
      </c>
      <c r="H13" s="25">
        <f t="shared" si="13"/>
        <v>28152.561511249998</v>
      </c>
      <c r="I13" s="19">
        <f>SUMIFS([1]PositionsAL!V:V,[1]PositionsAL!F:F,"EQCH")</f>
        <v>25722.762999999999</v>
      </c>
      <c r="J13" s="31">
        <f t="shared" ref="J13:J15" si="15">I13/H13</f>
        <v>0.91369174310198975</v>
      </c>
      <c r="K13" s="39">
        <f t="shared" si="0"/>
        <v>51445.525999999998</v>
      </c>
      <c r="L13" s="53"/>
      <c r="M13" s="50"/>
    </row>
    <row r="14" spans="1:13" x14ac:dyDescent="0.2">
      <c r="A14" s="36" t="s">
        <v>189</v>
      </c>
      <c r="B14" s="42" t="s">
        <v>129</v>
      </c>
      <c r="C14" s="44">
        <v>0.18</v>
      </c>
      <c r="D14" s="19">
        <f t="shared" si="11"/>
        <v>36187.528930199995</v>
      </c>
      <c r="E14" s="25">
        <f t="shared" ref="E14" si="16">$E$11*C14</f>
        <v>15917.684642100001</v>
      </c>
      <c r="F14" s="19">
        <f>SUMIFS([1]PositionsHK!V:V,[1]PositionsHK!F:F,"CBUK")</f>
        <v>20772.2592</v>
      </c>
      <c r="G14" s="31">
        <f t="shared" ref="G14" si="17">F14/E14</f>
        <v>1.304979943192262</v>
      </c>
      <c r="H14" s="25">
        <f t="shared" ref="H14" si="18">$H$11*C14</f>
        <v>20269.844288099997</v>
      </c>
      <c r="I14" s="19">
        <f>SUMIFS([1]PositionsAL!V:V,[1]PositionsAL!F:F,"CBUK")</f>
        <v>20772.2592</v>
      </c>
      <c r="J14" s="31">
        <f t="shared" ref="J14" si="19">I14/H14</f>
        <v>1.0247863232079666</v>
      </c>
      <c r="K14" s="39">
        <f t="shared" ref="K14" si="20">F14+I14</f>
        <v>41544.518400000001</v>
      </c>
      <c r="L14" s="53"/>
      <c r="M14" s="50"/>
    </row>
    <row r="15" spans="1:13" x14ac:dyDescent="0.2">
      <c r="A15" s="56" t="s">
        <v>206</v>
      </c>
      <c r="B15" s="42" t="s">
        <v>16</v>
      </c>
      <c r="C15" s="44">
        <v>0.12</v>
      </c>
      <c r="D15" s="19">
        <f t="shared" si="11"/>
        <v>24125.019286799998</v>
      </c>
      <c r="E15" s="25">
        <f t="shared" si="12"/>
        <v>10611.789761400001</v>
      </c>
      <c r="F15" s="19">
        <f>SUMIFS([1]PositionsHK!V:V,[1]PositionsHK!F:F,"2807")</f>
        <v>0</v>
      </c>
      <c r="G15" s="31">
        <f t="shared" si="14"/>
        <v>0</v>
      </c>
      <c r="H15" s="25">
        <f t="shared" si="13"/>
        <v>13513.229525399998</v>
      </c>
      <c r="I15" s="19">
        <f>SUMIFS([1]PositionsAL!V:V,[1]PositionsAL!F:F,"2807")</f>
        <v>0</v>
      </c>
      <c r="J15" s="31">
        <f t="shared" si="15"/>
        <v>0</v>
      </c>
      <c r="K15" s="39">
        <f t="shared" si="0"/>
        <v>0</v>
      </c>
      <c r="L15" s="53"/>
      <c r="M15" s="50"/>
    </row>
    <row r="16" spans="1:13" x14ac:dyDescent="0.2">
      <c r="A16" s="36" t="s">
        <v>8</v>
      </c>
      <c r="B16" s="42" t="s">
        <v>16</v>
      </c>
      <c r="C16" s="44">
        <v>0.1</v>
      </c>
      <c r="D16" s="19">
        <f t="shared" si="11"/>
        <v>20104.182739</v>
      </c>
      <c r="E16" s="25">
        <f>$E$11*C16</f>
        <v>8843.1581345000013</v>
      </c>
      <c r="F16" s="19">
        <f>SUMIFS([1]PositionsHK!V:V,[1]PositionsHK!F:F,"INRA")</f>
        <v>10733.03</v>
      </c>
      <c r="G16" s="31">
        <f>F16/E16</f>
        <v>1.213710061129293</v>
      </c>
      <c r="H16" s="25">
        <f>$H$11*C16</f>
        <v>11261.0246045</v>
      </c>
      <c r="I16" s="19">
        <f>SUMIFS([1]PositionsAL!V:V,[1]PositionsAL!F:F,"INRA")</f>
        <v>10733.03</v>
      </c>
      <c r="J16" s="31">
        <f>I16/H16</f>
        <v>0.95311309378642073</v>
      </c>
      <c r="K16" s="39">
        <f>F16+I16</f>
        <v>21466.06</v>
      </c>
      <c r="L16" s="53"/>
      <c r="M16" s="50"/>
    </row>
    <row r="17" spans="1:13" x14ac:dyDescent="0.2">
      <c r="A17" s="36" t="s">
        <v>204</v>
      </c>
      <c r="B17" s="42" t="s">
        <v>16</v>
      </c>
      <c r="C17" s="44">
        <v>0.1</v>
      </c>
      <c r="D17" s="19">
        <f t="shared" si="11"/>
        <v>20104.182739</v>
      </c>
      <c r="E17" s="25">
        <f>$E$11*C17</f>
        <v>8843.1581345000013</v>
      </c>
      <c r="F17" s="19">
        <f>SUMIFS([1]PositionsHK!V:V,[1]PositionsHK!F:F,"GRDU")</f>
        <v>4860</v>
      </c>
      <c r="G17" s="31">
        <f>F17/E17</f>
        <v>0.54957741635757684</v>
      </c>
      <c r="H17" s="25">
        <f>$H$11*C17</f>
        <v>11261.0246045</v>
      </c>
      <c r="I17" s="19">
        <f>SUMIFS([1]PositionsAL!V:V,[1]PositionsAL!F:F,"GRDU")</f>
        <v>4860</v>
      </c>
      <c r="J17" s="31">
        <f>I17/H17</f>
        <v>0.43157706964408044</v>
      </c>
      <c r="K17" s="39">
        <f>F17+I17</f>
        <v>9720</v>
      </c>
      <c r="L17" s="53"/>
      <c r="M17" s="50"/>
    </row>
    <row r="18" spans="1:13" x14ac:dyDescent="0.2">
      <c r="A18" s="56"/>
      <c r="B18" s="42"/>
      <c r="C18" s="44"/>
      <c r="D18" s="19"/>
      <c r="E18" s="25"/>
      <c r="F18" s="19"/>
      <c r="G18" s="31"/>
      <c r="H18" s="25"/>
      <c r="I18" s="19"/>
      <c r="J18" s="31"/>
      <c r="K18" s="39"/>
      <c r="L18" s="53"/>
      <c r="M18" s="50"/>
    </row>
    <row r="19" spans="1:13" x14ac:dyDescent="0.2">
      <c r="A19" s="35" t="s">
        <v>177</v>
      </c>
      <c r="B19" s="42" t="s">
        <v>16</v>
      </c>
      <c r="C19" s="43">
        <v>0.2</v>
      </c>
      <c r="D19" s="18">
        <f>$G$42*C19</f>
        <v>201041.82738999999</v>
      </c>
      <c r="E19" s="24">
        <f>$E$2*C19</f>
        <v>88431.581345000013</v>
      </c>
      <c r="F19" s="18" cm="1">
        <f t="array" ref="F19">SUMPRODUCT(SUMIFS([1]PositionsHK!V:V,[1]PositionsHK!F:F,IncomeStrategy!A:A))+SUMIFS([1]PositionsHK!V:V,[1]PositionsHK!D:D,"OPT")-SUMIFS([1]PositionsHK!V:V,[1]PositionsHK!D:D,"OPT",[1]PositionsHK!F:F,"SPY*")-SUMIFS([1]PositionsHK!V:V,[1]PositionsHK!D:D,"OPT",[1]PositionsHK!F:F,"QQQ*")+SUMIFS([1]PositionsHK!V:V,[1]PositionsHK!D:D,"FOP")-SUMIFS([1]PositionsHK!V:V,[1]PositionsHK!D:D,"FOP",[1]PositionsHK!F:F,"SPY*")-SUMIFS([1]PositionsHK!V:V,[1]PositionsHK!D:D,"FOP",[1]PositionsHK!F:F,"QQQ*")</f>
        <v>43690.28</v>
      </c>
      <c r="G19" s="30">
        <f>F19/E19</f>
        <v>0.49405743214689535</v>
      </c>
      <c r="H19" s="24">
        <f>$H$2*C19</f>
        <v>112610.24604499999</v>
      </c>
      <c r="I19" s="18" cm="1">
        <f t="array" ref="I19">SUMPRODUCT(SUMIFS([1]PositionsAL!V:V,[1]PositionsAL!F:F,IncomeStrategy!A:A))+SUMIFS([1]PositionsAL!V:V,[1]PositionsAL!D:D,"OPT")-SUMIFS([1]PositionsAL!V:V,[1]PositionsAL!D:D,"OPT",[1]PositionsAL!F:F,"SPY*")-SUMIFS([1]PositionsAL!V:V,[1]PositionsAL!D:D,"OPT",[1]PositionsAL!F:F,"QQQ*")+SUMIFS([1]PositionsAL!V:V,[1]PositionsAL!D:D,"FOP")-SUMIFS([1]PositionsAL!V:V,[1]PositionsAL!D:D,"FOP",[1]PositionsAL!F:F,"SPY*")-SUMIFS([1]PositionsAL!V:V,[1]PositionsAL!D:D,"FOP",[1]PositionsAL!F:F,"QQQ*")</f>
        <v>61116.939999999995</v>
      </c>
      <c r="J19" s="30">
        <f t="shared" ref="J19:J23" si="21">I19/H19</f>
        <v>0.54272983273277953</v>
      </c>
      <c r="K19" s="38">
        <f t="shared" si="0"/>
        <v>104807.22</v>
      </c>
      <c r="L19" s="52" t="s">
        <v>195</v>
      </c>
      <c r="M19" s="50">
        <f t="shared" si="1"/>
        <v>0.10426409405509932</v>
      </c>
    </row>
    <row r="20" spans="1:13" x14ac:dyDescent="0.2">
      <c r="A20" s="35" t="s">
        <v>176</v>
      </c>
      <c r="B20" s="48" t="s">
        <v>16</v>
      </c>
      <c r="C20" s="43">
        <v>0.03</v>
      </c>
      <c r="D20" s="18">
        <f>$G$42*C20</f>
        <v>30156.274108499998</v>
      </c>
      <c r="E20" s="24">
        <f>$E$2*C20</f>
        <v>13264.73720175</v>
      </c>
      <c r="F20" s="18" cm="1">
        <f t="array" ref="F20">SUMIFS([1]PositionsHK!V:V,[1]PositionsHK!D:D,"STK")-SUMPRODUCT(SUMIFS([1]PositionsHK!V:V,[1]PositionsHK!D:D,"STK",[1]PositionsHK!F:F,GlobalETF!A:A))-SUMPRODUCT(SUMIFS([1]PositionsHK!V:V,[1]PositionsHK!D:D,"STK",[1]PositionsHK!F:F,GrowthEngine!A:A))-SUMPRODUCT(SUMIFS([1]PositionsHK!V:V,[1]PositionsHK!D:D,"STK",[1]PositionsHK!F:F,IncomeStrategy!A:A))-SUMPRODUCT(SUMIFS([1]PositionsHK!V:V,[1]PositionsHK!D:D,"STK",[1]PositionsHK!F:F,Gold!A:A))</f>
        <v>10576.000000000007</v>
      </c>
      <c r="G20" s="30">
        <f t="shared" ref="G20:G21" si="22">F20/E20</f>
        <v>0.79730188688583514</v>
      </c>
      <c r="H20" s="24">
        <f>$H$2*C20</f>
        <v>16891.53690675</v>
      </c>
      <c r="I20" s="18" cm="1">
        <f t="array" ref="I20">SUMIFS([1]PositionsAL!V:V,[1]PositionsAL!D:D,"STK")-SUMPRODUCT(SUMIFS([1]PositionsAL!V:V,[1]PositionsAL!D:D,"STK",[1]PositionsAL!F:F,GlobalETF!A:A))-SUMPRODUCT(SUMIFS([1]PositionsAL!V:V,[1]PositionsAL!D:D,"STK",[1]PositionsAL!F:F,GrowthEngine!A:A))-SUMPRODUCT(SUMIFS([1]PositionsAL!V:V,[1]PositionsAL!D:D,"STK",[1]PositionsAL!F:F,IncomeStrategy!A:A))-SUMPRODUCT(SUMIFS([1]PositionsAL!V:V,[1]PositionsAL!D:D,"STK",[1]PositionsAL!F:F,Gold!A:A))</f>
        <v>4061.1700000000492</v>
      </c>
      <c r="J20" s="30">
        <f>I20/H20</f>
        <v>0.24042631658799335</v>
      </c>
      <c r="K20" s="38">
        <f t="shared" si="0"/>
        <v>14637.170000000056</v>
      </c>
      <c r="L20" s="52" t="s">
        <v>196</v>
      </c>
      <c r="M20" s="50">
        <f t="shared" si="1"/>
        <v>1.4561318099845448E-2</v>
      </c>
    </row>
    <row r="21" spans="1:13" x14ac:dyDescent="0.2">
      <c r="A21" s="35" t="s">
        <v>175</v>
      </c>
      <c r="B21" s="48" t="s">
        <v>16</v>
      </c>
      <c r="C21" s="43">
        <v>0.02</v>
      </c>
      <c r="D21" s="18">
        <f>$G$42*C21</f>
        <v>20104.182739</v>
      </c>
      <c r="E21" s="24">
        <f>$E$2*C21</f>
        <v>8843.1581344999995</v>
      </c>
      <c r="F21" s="18">
        <f>SUMIFS([1]PositionsHK!V:V,[1]PositionsHK!F:F,"SPY*",[1]PositionsHK!D:D,"OPT")+SUMIFS([1]PositionsHK!V:V,[1]PositionsHK!F:F,"SPY*",[1]PositionsHK!D:D,"FOP")+SUMIFS([1]PositionsHK!V:V,[1]PositionsHK!F:F,"QQQ*",[1]PositionsHK!D:D,"OPT")+SUMIFS([1]PositionsHK!V:V,[1]PositionsHK!F:F,"QQQ*",[1]PositionsHK!D:D,"FOP")</f>
        <v>6896.24</v>
      </c>
      <c r="G21" s="30">
        <f t="shared" si="22"/>
        <v>0.77983904563411044</v>
      </c>
      <c r="H21" s="24">
        <f>H2*C21</f>
        <v>11261.024604499999</v>
      </c>
      <c r="I21" s="18">
        <f>SUMIFS([1]PositionsAL!V:V,[1]PositionsAL!F:F,"SPY*",[1]PositionsAL!D:D,"OPT")+SUMIFS([1]PositionsAL!V:V,[1]PositionsAL!F:F,"SPY*",[1]PositionsAL!D:D,"FOP")+SUMIFS([1]PositionsAL!V:V,[1]PositionsAL!F:F,"QQQ*",[1]PositionsAL!D:D,"OPT")+SUMIFS([1]PositionsAL!V:V,[1]PositionsAL!F:F,"QQQ*",[1]PositionsAL!D:D,"FOP")</f>
        <v>6896.24</v>
      </c>
      <c r="J21" s="30">
        <f>I21/H21</f>
        <v>0.61239898163833206</v>
      </c>
      <c r="K21" s="38">
        <f t="shared" si="0"/>
        <v>13792.48</v>
      </c>
      <c r="L21" s="52" t="s">
        <v>197</v>
      </c>
      <c r="M21" s="50">
        <f t="shared" si="1"/>
        <v>1.3721005403760124E-2</v>
      </c>
    </row>
    <row r="22" spans="1:13" x14ac:dyDescent="0.2">
      <c r="A22" s="35" t="s">
        <v>133</v>
      </c>
      <c r="B22" s="42" t="s">
        <v>14</v>
      </c>
      <c r="C22" s="43">
        <v>0.05</v>
      </c>
      <c r="D22" s="18">
        <f>$G$42*C22</f>
        <v>50260.456847499998</v>
      </c>
      <c r="E22" s="24">
        <f>$E$2*C22</f>
        <v>22107.895336250003</v>
      </c>
      <c r="F22" s="18">
        <f>SUMIFS([1]PositionsHK!V:V,[1]PositionsHK!F:F,"GSD")</f>
        <v>23166.623025000001</v>
      </c>
      <c r="G22" s="30">
        <f t="shared" ref="G22:G23" si="23">F22/H22</f>
        <v>0.82289574310111802</v>
      </c>
      <c r="H22" s="24">
        <f>$H$2*C22</f>
        <v>28152.561511249998</v>
      </c>
      <c r="I22" s="18">
        <f>SUMIFS([1]PositionsAL!V:V,[1]PositionsAL!F:F,"GSD")</f>
        <v>23166.623025000001</v>
      </c>
      <c r="J22" s="30">
        <f t="shared" si="21"/>
        <v>0.82289574310111802</v>
      </c>
      <c r="K22" s="38">
        <f t="shared" si="0"/>
        <v>46333.246050000002</v>
      </c>
      <c r="L22" s="52" t="s">
        <v>198</v>
      </c>
      <c r="M22" s="50">
        <f>K22/$G$42</f>
        <v>4.6093140568324004E-2</v>
      </c>
    </row>
    <row r="23" spans="1:13" x14ac:dyDescent="0.2">
      <c r="A23" s="34" t="s">
        <v>134</v>
      </c>
      <c r="B23" s="42" t="s">
        <v>16</v>
      </c>
      <c r="C23" s="43">
        <v>0.05</v>
      </c>
      <c r="D23" s="18">
        <f>$G$42*C23</f>
        <v>50260.456847499998</v>
      </c>
      <c r="E23" s="26">
        <f>$E$2*C23</f>
        <v>22107.895336250003</v>
      </c>
      <c r="F23" s="45" t="str">
        <f>[1]Summary!$C$2</f>
        <v>$114,463.22</v>
      </c>
      <c r="G23" s="32">
        <f t="shared" si="23"/>
        <v>4.0658190180761897</v>
      </c>
      <c r="H23" s="26">
        <f>$H$2*C23</f>
        <v>28152.561511249998</v>
      </c>
      <c r="I23" s="45" t="str">
        <f>[1]Summary!$C$3</f>
        <v>$113,399.16</v>
      </c>
      <c r="J23" s="32">
        <f t="shared" si="21"/>
        <v>4.0280228125843811</v>
      </c>
      <c r="K23" s="40">
        <f t="shared" si="0"/>
        <v>227862.38</v>
      </c>
      <c r="L23" s="54" t="s">
        <v>125</v>
      </c>
      <c r="M23" s="51">
        <f>K23/$G$42</f>
        <v>0.2266815646855129</v>
      </c>
    </row>
    <row r="24" spans="1:13" x14ac:dyDescent="0.2">
      <c r="A24" s="5"/>
      <c r="B24" s="5"/>
      <c r="C24" s="6">
        <f>C4+C11+C19+C20+C21+C22+C23</f>
        <v>1.05</v>
      </c>
      <c r="D24" s="5"/>
      <c r="E24" s="5"/>
      <c r="F24" s="7"/>
      <c r="G24" s="7"/>
      <c r="H24" s="7"/>
      <c r="I24" s="7"/>
      <c r="J24" s="5"/>
      <c r="K24" s="5"/>
    </row>
    <row r="25" spans="1:13" x14ac:dyDescent="0.2">
      <c r="F25" s="3"/>
      <c r="I25" s="3"/>
    </row>
    <row r="26" spans="1:13" x14ac:dyDescent="0.2">
      <c r="A26" s="9"/>
      <c r="B26" s="9"/>
    </row>
    <row r="40" spans="7:14" x14ac:dyDescent="0.2">
      <c r="H40" s="1" t="s">
        <v>191</v>
      </c>
      <c r="K40" s="1" t="s">
        <v>127</v>
      </c>
      <c r="N40" s="1" t="s">
        <v>192</v>
      </c>
    </row>
    <row r="41" spans="7:14" x14ac:dyDescent="0.2">
      <c r="G41" s="12" t="s">
        <v>123</v>
      </c>
      <c r="H41" s="11"/>
      <c r="J41" s="47" t="s">
        <v>172</v>
      </c>
      <c r="K41" s="47" t="s">
        <v>173</v>
      </c>
      <c r="L41" s="47"/>
    </row>
    <row r="42" spans="7:14" x14ac:dyDescent="0.2">
      <c r="G42" s="16">
        <f>E2+H2</f>
        <v>1005209.13695</v>
      </c>
      <c r="H42" s="11"/>
      <c r="J42" t="s">
        <v>16</v>
      </c>
      <c r="K42" s="46">
        <v>365115.64</v>
      </c>
      <c r="L42" s="46"/>
    </row>
    <row r="43" spans="7:14" x14ac:dyDescent="0.2">
      <c r="G43" s="12" t="s">
        <v>124</v>
      </c>
      <c r="H43" s="17">
        <f>G44/G42</f>
        <v>0.77331843531448707</v>
      </c>
      <c r="J43" t="s">
        <v>129</v>
      </c>
      <c r="K43" s="46">
        <v>127769.98974999999</v>
      </c>
      <c r="L43" s="46"/>
    </row>
    <row r="44" spans="7:14" x14ac:dyDescent="0.2">
      <c r="G44" s="16">
        <f>G42-G46</f>
        <v>777346.75694999995</v>
      </c>
      <c r="H44" s="11"/>
      <c r="J44" t="s">
        <v>12</v>
      </c>
      <c r="K44" s="46">
        <v>99402.54</v>
      </c>
      <c r="L44" s="46"/>
    </row>
    <row r="45" spans="7:14" x14ac:dyDescent="0.2">
      <c r="G45" s="12" t="s">
        <v>125</v>
      </c>
      <c r="H45" s="17">
        <f>G46/G42</f>
        <v>0.2266815646855129</v>
      </c>
      <c r="J45" t="s">
        <v>14</v>
      </c>
      <c r="K45" s="46">
        <v>70588.302949999998</v>
      </c>
      <c r="L45" s="46"/>
    </row>
    <row r="46" spans="7:14" x14ac:dyDescent="0.2">
      <c r="G46" s="16">
        <f>F23+I23</f>
        <v>227862.38</v>
      </c>
      <c r="H46" s="11"/>
      <c r="J46" t="s">
        <v>174</v>
      </c>
      <c r="K46" s="46">
        <v>18152.184000000001</v>
      </c>
      <c r="L46" s="46"/>
    </row>
    <row r="51" spans="1:6" x14ac:dyDescent="0.2">
      <c r="A51" s="11"/>
      <c r="B51" s="11" t="s">
        <v>5</v>
      </c>
      <c r="C51" s="11" t="s">
        <v>122</v>
      </c>
      <c r="E51" s="15"/>
      <c r="F51" s="15"/>
    </row>
    <row r="52" spans="1:6" x14ac:dyDescent="0.2">
      <c r="A52" s="12" t="str">
        <f>A4</f>
        <v>Global Triads (the strategic core)</v>
      </c>
      <c r="B52" s="13">
        <f>D4</f>
        <v>502604.56847499998</v>
      </c>
      <c r="C52" s="14">
        <f>K4</f>
        <v>385495.53649999999</v>
      </c>
      <c r="E52" s="15"/>
      <c r="F52" s="15"/>
    </row>
    <row r="53" spans="1:6" x14ac:dyDescent="0.2">
      <c r="A53" s="12" t="str">
        <f>A11</f>
        <v>Four Horsemen (growth engine)</v>
      </c>
      <c r="B53" s="13">
        <f>D11</f>
        <v>201041.82738999999</v>
      </c>
      <c r="C53" s="14">
        <f>K11</f>
        <v>212281.10440000001</v>
      </c>
      <c r="E53" s="15"/>
      <c r="F53" s="15"/>
    </row>
    <row r="54" spans="1:6" x14ac:dyDescent="0.2">
      <c r="A54" s="12" t="str">
        <f>A19</f>
        <v>Cash Cow (income Strategy, wheel/CSPs/CC/callOpts)</v>
      </c>
      <c r="B54" s="13">
        <f>D19</f>
        <v>201041.82738999999</v>
      </c>
      <c r="C54" s="14">
        <f>K19</f>
        <v>104807.22</v>
      </c>
      <c r="E54" s="15"/>
      <c r="F54" s="15"/>
    </row>
    <row r="55" spans="1:6" x14ac:dyDescent="0.2">
      <c r="A55" s="12" t="str">
        <f>A20</f>
        <v>The Alpha (theme stocks)</v>
      </c>
      <c r="B55" s="13">
        <f>D20</f>
        <v>30156.274108499998</v>
      </c>
      <c r="C55" s="14">
        <f>K20</f>
        <v>14637.170000000056</v>
      </c>
      <c r="E55" s="15"/>
      <c r="F55" s="15"/>
    </row>
    <row r="56" spans="1:6" x14ac:dyDescent="0.2">
      <c r="A56" s="12" t="str">
        <f>A21</f>
        <v>The Omega (insurance, SPY and QQQ bear spreads)</v>
      </c>
      <c r="B56" s="13">
        <f>D21</f>
        <v>20104.182739</v>
      </c>
      <c r="C56" s="14">
        <f>K21</f>
        <v>13792.48</v>
      </c>
      <c r="E56" s="15"/>
      <c r="F56" s="15"/>
    </row>
    <row r="57" spans="1:6" x14ac:dyDescent="0.2">
      <c r="A57" s="12" t="str">
        <f>A22</f>
        <v>The Vault (Gold)</v>
      </c>
      <c r="B57" s="13">
        <f>D22</f>
        <v>50260.456847499998</v>
      </c>
      <c r="C57" s="14">
        <f>K22</f>
        <v>46333.246050000002</v>
      </c>
      <c r="E57" s="15"/>
      <c r="F57" s="15"/>
    </row>
    <row r="58" spans="1:6" x14ac:dyDescent="0.2">
      <c r="A58" s="12" t="str">
        <f>A23</f>
        <v>The War Chest (Cash)</v>
      </c>
      <c r="B58" s="13">
        <f>D23</f>
        <v>50260.456847499998</v>
      </c>
      <c r="C58" s="14">
        <f>K23</f>
        <v>227862.38</v>
      </c>
      <c r="E58" s="15"/>
      <c r="F58" s="15"/>
    </row>
  </sheetData>
  <mergeCells count="1">
    <mergeCell ref="L3:M3"/>
  </mergeCells>
  <conditionalFormatting sqref="G4:G23">
    <cfRule type="expression" dxfId="19" priority="149">
      <formula>AND(G4&gt;=120%)</formula>
    </cfRule>
    <cfRule type="expression" dxfId="18" priority="150">
      <formula>AND(G4&lt;50%)</formula>
    </cfRule>
    <cfRule type="expression" dxfId="17" priority="151">
      <formula>AND(G4&gt;=50%, G4&lt;80%)</formula>
    </cfRule>
    <cfRule type="expression" dxfId="16" priority="152">
      <formula>AND(G4&gt;=80%, G4&lt;=120%)</formula>
    </cfRule>
  </conditionalFormatting>
  <conditionalFormatting sqref="J4:J10">
    <cfRule type="expression" dxfId="15" priority="85">
      <formula>AND(J4&gt;=120%)</formula>
    </cfRule>
    <cfRule type="expression" dxfId="14" priority="86">
      <formula>AND(J4&lt;50%)</formula>
    </cfRule>
    <cfRule type="expression" dxfId="13" priority="87">
      <formula>AND(J4&gt;=50%, J4&lt;80%)</formula>
    </cfRule>
    <cfRule type="expression" dxfId="12" priority="88">
      <formula>AND(J4&gt;=80%, J4&lt;=120%)</formula>
    </cfRule>
  </conditionalFormatting>
  <conditionalFormatting sqref="J8:J10">
    <cfRule type="expression" dxfId="11" priority="81">
      <formula>AND(J8&gt;=120%)</formula>
    </cfRule>
    <cfRule type="expression" dxfId="10" priority="82">
      <formula>AND(J8&lt;50%)</formula>
    </cfRule>
    <cfRule type="expression" dxfId="9" priority="83">
      <formula>AND(J8&gt;=50%, J8&lt;80%)</formula>
    </cfRule>
    <cfRule type="expression" dxfId="8" priority="84">
      <formula>AND(J8&gt;=80%, J8&lt;=120%)</formula>
    </cfRule>
  </conditionalFormatting>
  <conditionalFormatting sqref="J11:J23">
    <cfRule type="expression" dxfId="7" priority="125">
      <formula>AND(J11&gt;=120%)</formula>
    </cfRule>
    <cfRule type="expression" dxfId="6" priority="126">
      <formula>AND(J11&lt;50%)</formula>
    </cfRule>
    <cfRule type="expression" dxfId="5" priority="127">
      <formula>AND(J11&gt;=50%, J11&lt;80%)</formula>
    </cfRule>
    <cfRule type="expression" dxfId="4" priority="128">
      <formula>AND(J11&gt;=80%, J11&lt;=120%)</formula>
    </cfRule>
  </conditionalFormatting>
  <conditionalFormatting sqref="J16:J17">
    <cfRule type="expression" dxfId="3" priority="121">
      <formula>AND(J16&gt;=120%)</formula>
    </cfRule>
    <cfRule type="expression" dxfId="2" priority="122">
      <formula>AND(J16&lt;50%)</formula>
    </cfRule>
    <cfRule type="expression" dxfId="1" priority="123">
      <formula>AND(J16&gt;=50%, J16&lt;80%)</formula>
    </cfRule>
    <cfRule type="expression" dxfId="0" priority="124">
      <formula>AND(J16&gt;=80%, J16&lt;=120%)</formula>
    </cfRule>
  </conditionalFormatting>
  <pageMargins left="0.75" right="0.75" top="1" bottom="1" header="0.5" footer="0.5"/>
  <pageSetup paperSize="9" orientation="portrait" horizontalDpi="0" verticalDpi="0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/>
  </sheetViews>
  <sheetFormatPr baseColWidth="10" defaultRowHeight="16" x14ac:dyDescent="0.2"/>
  <cols>
    <col min="1" max="1" width="13.5" style="1" customWidth="1"/>
    <col min="2" max="2" width="12.6640625" style="1" customWidth="1"/>
    <col min="3" max="3" width="39" style="1" bestFit="1" customWidth="1"/>
    <col min="4" max="4" width="22.83203125" style="1" customWidth="1"/>
    <col min="5" max="5" width="80.5" style="1" customWidth="1"/>
    <col min="6" max="6" width="20.6640625" style="1" customWidth="1"/>
    <col min="7" max="7" width="32.5" style="1" customWidth="1"/>
    <col min="8" max="16384" width="10.83203125" style="1"/>
  </cols>
  <sheetData>
    <row r="1" spans="1:7" x14ac:dyDescent="0.2">
      <c r="A1" s="1" t="s">
        <v>9</v>
      </c>
      <c r="B1" s="1" t="s">
        <v>127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</row>
    <row r="2" spans="1:7" x14ac:dyDescent="0.2">
      <c r="A2" s="1">
        <v>82846</v>
      </c>
      <c r="B2" s="1" t="s">
        <v>10</v>
      </c>
      <c r="C2" s="1" t="s">
        <v>179</v>
      </c>
      <c r="D2" s="1">
        <v>3.8E-3</v>
      </c>
      <c r="E2" s="1" t="s">
        <v>180</v>
      </c>
      <c r="F2" s="1" t="s">
        <v>142</v>
      </c>
      <c r="G2" s="1">
        <v>-6.3500000000000001E-2</v>
      </c>
    </row>
    <row r="3" spans="1:7" x14ac:dyDescent="0.2">
      <c r="A3" s="1" t="s">
        <v>11</v>
      </c>
      <c r="B3" s="1" t="s">
        <v>12</v>
      </c>
      <c r="C3" s="1" t="s">
        <v>157</v>
      </c>
      <c r="D3" s="1" t="s">
        <v>143</v>
      </c>
      <c r="E3" s="1" t="s">
        <v>181</v>
      </c>
      <c r="F3" s="1" t="s">
        <v>143</v>
      </c>
      <c r="G3" s="1" t="s">
        <v>144</v>
      </c>
    </row>
    <row r="4" spans="1:7" x14ac:dyDescent="0.2">
      <c r="A4" s="1" t="s">
        <v>13</v>
      </c>
      <c r="B4" s="1" t="s">
        <v>14</v>
      </c>
      <c r="C4" s="1" t="s">
        <v>178</v>
      </c>
      <c r="D4" s="1" t="s">
        <v>145</v>
      </c>
      <c r="E4" s="1" t="s">
        <v>182</v>
      </c>
      <c r="F4" s="1" t="s">
        <v>146</v>
      </c>
      <c r="G4" s="1" t="s">
        <v>147</v>
      </c>
    </row>
    <row r="5" spans="1:7" x14ac:dyDescent="0.2">
      <c r="A5" s="1" t="s">
        <v>15</v>
      </c>
      <c r="B5" s="1" t="s">
        <v>16</v>
      </c>
      <c r="C5" s="1" t="s">
        <v>183</v>
      </c>
      <c r="D5" s="1" t="s">
        <v>148</v>
      </c>
      <c r="E5" s="1" t="s">
        <v>184</v>
      </c>
      <c r="F5" s="1" t="s">
        <v>149</v>
      </c>
      <c r="G5" s="1" t="s">
        <v>150</v>
      </c>
    </row>
    <row r="6" spans="1:7" x14ac:dyDescent="0.2">
      <c r="A6" s="1" t="s">
        <v>135</v>
      </c>
      <c r="B6" s="1" t="s">
        <v>129</v>
      </c>
      <c r="C6" s="1" t="s">
        <v>185</v>
      </c>
      <c r="D6" s="1" t="s">
        <v>151</v>
      </c>
      <c r="E6" s="1" t="s">
        <v>188</v>
      </c>
      <c r="F6" s="1" t="s">
        <v>152</v>
      </c>
      <c r="G6" s="1" t="s">
        <v>153</v>
      </c>
    </row>
    <row r="7" spans="1:7" x14ac:dyDescent="0.2">
      <c r="A7" s="1" t="s">
        <v>136</v>
      </c>
      <c r="B7" s="1" t="s">
        <v>129</v>
      </c>
      <c r="C7" s="1" t="s">
        <v>186</v>
      </c>
      <c r="D7" s="1" t="s">
        <v>154</v>
      </c>
      <c r="E7" s="1" t="s">
        <v>187</v>
      </c>
      <c r="F7" s="1" t="s">
        <v>155</v>
      </c>
      <c r="G7" s="1" t="s">
        <v>156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workbookViewId="0">
      <selection activeCell="C10" sqref="C10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20" style="1" customWidth="1"/>
    <col min="4" max="4" width="17.6640625" style="1" bestFit="1" customWidth="1"/>
    <col min="5" max="5" width="12.83203125" style="1" bestFit="1" customWidth="1"/>
    <col min="6" max="6" width="14" style="1" bestFit="1" customWidth="1"/>
    <col min="7" max="7" width="68.33203125" style="1" bestFit="1" customWidth="1"/>
    <col min="8" max="8" width="10.83203125" style="1" customWidth="1"/>
    <col min="9" max="16384" width="10.83203125" style="1"/>
  </cols>
  <sheetData>
    <row r="1" spans="1:7" x14ac:dyDescent="0.2">
      <c r="A1" s="1" t="s">
        <v>9</v>
      </c>
      <c r="B1" s="1" t="s">
        <v>17</v>
      </c>
      <c r="C1" s="1" t="s">
        <v>163</v>
      </c>
      <c r="D1" s="1" t="s">
        <v>18</v>
      </c>
      <c r="E1" s="1" t="s">
        <v>19</v>
      </c>
      <c r="F1" s="1" t="s">
        <v>20</v>
      </c>
      <c r="G1" s="1" t="s">
        <v>21</v>
      </c>
    </row>
    <row r="2" spans="1:7" x14ac:dyDescent="0.2">
      <c r="A2" s="1" t="s">
        <v>22</v>
      </c>
      <c r="B2" s="1" t="s">
        <v>16</v>
      </c>
      <c r="C2" s="1" t="s">
        <v>161</v>
      </c>
      <c r="D2" s="1" t="s">
        <v>168</v>
      </c>
      <c r="E2" s="2"/>
      <c r="F2" s="2"/>
    </row>
    <row r="3" spans="1:7" x14ac:dyDescent="0.2">
      <c r="A3" s="1" t="s">
        <v>158</v>
      </c>
      <c r="B3" s="1" t="s">
        <v>129</v>
      </c>
      <c r="C3" s="1" t="s">
        <v>161</v>
      </c>
      <c r="D3" s="1" t="s">
        <v>167</v>
      </c>
      <c r="E3" s="2"/>
      <c r="F3" s="2"/>
    </row>
    <row r="4" spans="1:7" x14ac:dyDescent="0.2">
      <c r="A4" s="1" t="s">
        <v>159</v>
      </c>
      <c r="B4" s="1" t="s">
        <v>12</v>
      </c>
      <c r="C4" s="1" t="s">
        <v>160</v>
      </c>
      <c r="D4" s="1" t="s">
        <v>166</v>
      </c>
      <c r="E4" s="2"/>
      <c r="F4" s="2"/>
    </row>
    <row r="5" spans="1:7" x14ac:dyDescent="0.2">
      <c r="A5" s="1" t="s">
        <v>23</v>
      </c>
      <c r="B5" s="1" t="s">
        <v>16</v>
      </c>
      <c r="C5" s="1" t="s">
        <v>164</v>
      </c>
      <c r="D5" s="1" t="s">
        <v>165</v>
      </c>
      <c r="E5" s="2"/>
      <c r="F5" s="2"/>
    </row>
    <row r="6" spans="1:7" x14ac:dyDescent="0.2">
      <c r="A6" s="1" t="s">
        <v>24</v>
      </c>
      <c r="B6" s="1" t="s">
        <v>16</v>
      </c>
      <c r="C6" s="1" t="s">
        <v>162</v>
      </c>
      <c r="D6" s="1" t="s">
        <v>169</v>
      </c>
      <c r="E6" s="2"/>
      <c r="F6" s="2"/>
    </row>
    <row r="7" spans="1:7" x14ac:dyDescent="0.2">
      <c r="A7" s="1" t="s">
        <v>203</v>
      </c>
      <c r="B7" s="1" t="s">
        <v>16</v>
      </c>
      <c r="C7" s="1" t="s">
        <v>164</v>
      </c>
      <c r="D7" s="1" t="s">
        <v>170</v>
      </c>
      <c r="E7" s="2"/>
      <c r="F7" s="2"/>
    </row>
    <row r="8" spans="1:7" x14ac:dyDescent="0.2">
      <c r="A8" s="1" t="s">
        <v>25</v>
      </c>
      <c r="B8" s="1" t="s">
        <v>16</v>
      </c>
      <c r="C8" s="1" t="s">
        <v>164</v>
      </c>
      <c r="D8" s="1" t="s">
        <v>171</v>
      </c>
      <c r="E8" s="2"/>
      <c r="F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6"/>
  <sheetViews>
    <sheetView workbookViewId="0">
      <selection activeCell="C32" sqref="C32"/>
    </sheetView>
  </sheetViews>
  <sheetFormatPr baseColWidth="10" defaultRowHeight="16" x14ac:dyDescent="0.2"/>
  <cols>
    <col min="1" max="1" width="10.6640625" style="1" bestFit="1" customWidth="1"/>
    <col min="2" max="2" width="20" style="1" bestFit="1" customWidth="1"/>
    <col min="3" max="3" width="26" style="1" bestFit="1" customWidth="1"/>
    <col min="4" max="4" width="48.83203125" style="1" customWidth="1"/>
    <col min="5" max="5" width="190" style="1" bestFit="1" customWidth="1"/>
    <col min="6" max="6" width="10.83203125" style="1" customWidth="1"/>
    <col min="7" max="16384" width="10.83203125" style="1"/>
  </cols>
  <sheetData>
    <row r="1" spans="1:5" x14ac:dyDescent="0.2">
      <c r="A1" s="1" t="s">
        <v>9</v>
      </c>
      <c r="B1" s="1" t="s">
        <v>3</v>
      </c>
      <c r="C1" s="1" t="s">
        <v>26</v>
      </c>
      <c r="D1" s="1" t="s">
        <v>27</v>
      </c>
      <c r="E1" s="1" t="s">
        <v>28</v>
      </c>
    </row>
    <row r="2" spans="1:5" x14ac:dyDescent="0.2">
      <c r="A2" s="1" t="s">
        <v>29</v>
      </c>
      <c r="B2" s="1" t="s">
        <v>30</v>
      </c>
      <c r="C2" s="1" t="s">
        <v>31</v>
      </c>
      <c r="D2" s="1" t="s">
        <v>32</v>
      </c>
      <c r="E2" s="1" t="s">
        <v>33</v>
      </c>
    </row>
    <row r="3" spans="1:5" x14ac:dyDescent="0.2">
      <c r="A3" s="1" t="s">
        <v>34</v>
      </c>
      <c r="B3" s="1" t="s">
        <v>35</v>
      </c>
      <c r="C3" s="1" t="s">
        <v>36</v>
      </c>
      <c r="D3" s="1" t="s">
        <v>37</v>
      </c>
      <c r="E3" s="1" t="s">
        <v>38</v>
      </c>
    </row>
    <row r="4" spans="1:5" x14ac:dyDescent="0.2">
      <c r="A4" s="1" t="s">
        <v>39</v>
      </c>
      <c r="B4" s="1" t="s">
        <v>35</v>
      </c>
      <c r="C4" s="1" t="s">
        <v>36</v>
      </c>
      <c r="D4" s="1" t="s">
        <v>40</v>
      </c>
      <c r="E4" s="1" t="s">
        <v>41</v>
      </c>
    </row>
    <row r="5" spans="1:5" x14ac:dyDescent="0.2">
      <c r="A5" s="1" t="s">
        <v>43</v>
      </c>
      <c r="B5" s="1" t="s">
        <v>35</v>
      </c>
      <c r="C5" s="1" t="s">
        <v>42</v>
      </c>
      <c r="D5" s="1" t="s">
        <v>44</v>
      </c>
      <c r="E5" s="1" t="s">
        <v>45</v>
      </c>
    </row>
    <row r="6" spans="1:5" x14ac:dyDescent="0.2">
      <c r="A6" s="1" t="s">
        <v>46</v>
      </c>
      <c r="B6" s="1" t="s">
        <v>35</v>
      </c>
      <c r="C6" s="1" t="s">
        <v>47</v>
      </c>
      <c r="D6" s="1" t="s">
        <v>48</v>
      </c>
      <c r="E6" s="1" t="s">
        <v>49</v>
      </c>
    </row>
    <row r="7" spans="1:5" x14ac:dyDescent="0.2">
      <c r="A7" s="1" t="s">
        <v>50</v>
      </c>
      <c r="B7" s="1" t="s">
        <v>35</v>
      </c>
      <c r="C7" s="1" t="s">
        <v>36</v>
      </c>
      <c r="D7" s="1" t="s">
        <v>51</v>
      </c>
      <c r="E7" s="1" t="s">
        <v>52</v>
      </c>
    </row>
    <row r="8" spans="1:5" x14ac:dyDescent="0.2">
      <c r="A8" s="1" t="s">
        <v>53</v>
      </c>
      <c r="B8" s="1" t="s">
        <v>54</v>
      </c>
      <c r="C8" s="55" t="s">
        <v>55</v>
      </c>
      <c r="D8" s="55" t="s">
        <v>56</v>
      </c>
      <c r="E8" s="55" t="s">
        <v>57</v>
      </c>
    </row>
    <row r="9" spans="1:5" x14ac:dyDescent="0.2">
      <c r="A9" s="1" t="s">
        <v>58</v>
      </c>
      <c r="B9" s="1" t="s">
        <v>54</v>
      </c>
      <c r="C9" s="55" t="s">
        <v>59</v>
      </c>
      <c r="D9" s="55" t="s">
        <v>60</v>
      </c>
      <c r="E9" s="55" t="s">
        <v>61</v>
      </c>
    </row>
    <row r="10" spans="1:5" x14ac:dyDescent="0.2">
      <c r="A10" s="1" t="s">
        <v>62</v>
      </c>
      <c r="B10" s="1" t="s">
        <v>54</v>
      </c>
      <c r="C10" s="55" t="s">
        <v>42</v>
      </c>
      <c r="D10" s="55" t="s">
        <v>63</v>
      </c>
      <c r="E10" s="55" t="s">
        <v>64</v>
      </c>
    </row>
    <row r="11" spans="1:5" x14ac:dyDescent="0.2">
      <c r="A11" s="1" t="s">
        <v>65</v>
      </c>
      <c r="B11" s="1" t="s">
        <v>66</v>
      </c>
      <c r="C11" s="1" t="s">
        <v>42</v>
      </c>
      <c r="D11" s="1" t="s">
        <v>67</v>
      </c>
      <c r="E11" s="1" t="s">
        <v>68</v>
      </c>
    </row>
    <row r="12" spans="1:5" x14ac:dyDescent="0.2">
      <c r="A12" s="1" t="s">
        <v>69</v>
      </c>
      <c r="B12" s="1" t="s">
        <v>70</v>
      </c>
      <c r="C12" s="1" t="s">
        <v>42</v>
      </c>
      <c r="D12" s="1" t="s">
        <v>71</v>
      </c>
      <c r="E12" s="1" t="s">
        <v>72</v>
      </c>
    </row>
    <row r="13" spans="1:5" x14ac:dyDescent="0.2">
      <c r="A13" s="1" t="s">
        <v>73</v>
      </c>
      <c r="B13" s="1" t="s">
        <v>70</v>
      </c>
      <c r="C13" s="1" t="s">
        <v>36</v>
      </c>
      <c r="D13" s="1" t="s">
        <v>74</v>
      </c>
      <c r="E13" s="1" t="s">
        <v>75</v>
      </c>
    </row>
    <row r="14" spans="1:5" x14ac:dyDescent="0.2">
      <c r="A14" s="1" t="s">
        <v>76</v>
      </c>
      <c r="B14" s="1" t="s">
        <v>77</v>
      </c>
      <c r="C14" s="1" t="s">
        <v>36</v>
      </c>
      <c r="D14" s="1" t="s">
        <v>78</v>
      </c>
      <c r="E14" s="1" t="s">
        <v>79</v>
      </c>
    </row>
    <row r="15" spans="1:5" x14ac:dyDescent="0.2">
      <c r="A15" s="1" t="s">
        <v>80</v>
      </c>
      <c r="B15" s="1" t="s">
        <v>77</v>
      </c>
      <c r="C15" s="1" t="s">
        <v>42</v>
      </c>
      <c r="D15" s="1" t="s">
        <v>81</v>
      </c>
      <c r="E15" s="1" t="s">
        <v>82</v>
      </c>
    </row>
    <row r="16" spans="1:5" x14ac:dyDescent="0.2">
      <c r="A16" s="1" t="s">
        <v>83</v>
      </c>
      <c r="B16" s="1" t="s">
        <v>84</v>
      </c>
      <c r="C16" s="1" t="s">
        <v>85</v>
      </c>
      <c r="D16" s="1" t="s">
        <v>86</v>
      </c>
      <c r="E16" s="1" t="s">
        <v>87</v>
      </c>
    </row>
    <row r="17" spans="1:5" x14ac:dyDescent="0.2">
      <c r="A17" s="1" t="s">
        <v>88</v>
      </c>
      <c r="B17" s="1" t="s">
        <v>84</v>
      </c>
      <c r="C17" s="1" t="s">
        <v>36</v>
      </c>
      <c r="D17" s="1" t="s">
        <v>89</v>
      </c>
      <c r="E17" s="1" t="s">
        <v>90</v>
      </c>
    </row>
    <row r="18" spans="1:5" x14ac:dyDescent="0.2">
      <c r="A18" s="1" t="s">
        <v>91</v>
      </c>
      <c r="B18" s="1" t="s">
        <v>84</v>
      </c>
      <c r="C18" s="1" t="s">
        <v>92</v>
      </c>
      <c r="D18" s="1" t="s">
        <v>93</v>
      </c>
      <c r="E18" s="1" t="s">
        <v>94</v>
      </c>
    </row>
    <row r="19" spans="1:5" x14ac:dyDescent="0.2">
      <c r="A19" s="1" t="s">
        <v>95</v>
      </c>
      <c r="B19" s="1" t="s">
        <v>84</v>
      </c>
      <c r="C19" s="1" t="s">
        <v>96</v>
      </c>
      <c r="D19" s="1" t="s">
        <v>97</v>
      </c>
      <c r="E19" s="1" t="s">
        <v>98</v>
      </c>
    </row>
    <row r="20" spans="1:5" x14ac:dyDescent="0.2">
      <c r="A20" s="1" t="s">
        <v>99</v>
      </c>
      <c r="B20" s="1" t="s">
        <v>84</v>
      </c>
      <c r="C20" s="1" t="s">
        <v>42</v>
      </c>
      <c r="D20" s="1" t="s">
        <v>100</v>
      </c>
      <c r="E20" s="1" t="s">
        <v>101</v>
      </c>
    </row>
    <row r="21" spans="1:5" x14ac:dyDescent="0.2">
      <c r="A21" s="1" t="s">
        <v>102</v>
      </c>
      <c r="B21" s="1" t="s">
        <v>84</v>
      </c>
      <c r="C21" s="1" t="s">
        <v>103</v>
      </c>
      <c r="D21" s="1" t="s">
        <v>104</v>
      </c>
      <c r="E21" s="1" t="s">
        <v>105</v>
      </c>
    </row>
    <row r="22" spans="1:5" x14ac:dyDescent="0.2">
      <c r="A22" s="1" t="s">
        <v>106</v>
      </c>
      <c r="B22" s="1" t="s">
        <v>84</v>
      </c>
      <c r="C22" s="1" t="s">
        <v>107</v>
      </c>
      <c r="D22" s="1" t="s">
        <v>108</v>
      </c>
      <c r="E22" s="1" t="s">
        <v>109</v>
      </c>
    </row>
    <row r="23" spans="1:5" x14ac:dyDescent="0.2">
      <c r="A23" s="1" t="s">
        <v>110</v>
      </c>
      <c r="B23" s="1" t="s">
        <v>111</v>
      </c>
      <c r="C23" s="1" t="s">
        <v>103</v>
      </c>
      <c r="D23" s="1" t="s">
        <v>112</v>
      </c>
      <c r="E23" s="1" t="s">
        <v>113</v>
      </c>
    </row>
    <row r="24" spans="1:5" x14ac:dyDescent="0.2">
      <c r="A24" s="1" t="s">
        <v>199</v>
      </c>
    </row>
    <row r="25" spans="1:5" x14ac:dyDescent="0.2">
      <c r="A25" s="1" t="s">
        <v>200</v>
      </c>
    </row>
    <row r="26" spans="1:5" x14ac:dyDescent="0.2">
      <c r="A26" s="1" t="s">
        <v>201</v>
      </c>
    </row>
  </sheetData>
  <autoFilter ref="A1:E1" xr:uid="{00000000-0009-0000-0000-000003000000}">
    <sortState xmlns:xlrd2="http://schemas.microsoft.com/office/spreadsheetml/2017/richdata2" ref="A2:E24">
      <sortCondition ref="B1:B24"/>
    </sortState>
  </autoFilter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selection activeCell="B8" sqref="B8"/>
    </sheetView>
  </sheetViews>
  <sheetFormatPr baseColWidth="10" defaultRowHeight="15" x14ac:dyDescent="0.2"/>
  <cols>
    <col min="1" max="1" width="8.1640625" bestFit="1" customWidth="1"/>
    <col min="2" max="2" width="41.6640625" bestFit="1" customWidth="1"/>
    <col min="3" max="3" width="50.1640625" bestFit="1" customWidth="1"/>
    <col min="4" max="4" width="86.33203125" bestFit="1" customWidth="1"/>
    <col min="5" max="5" width="90" bestFit="1" customWidth="1"/>
  </cols>
  <sheetData>
    <row r="1" spans="1:5" s="1" customFormat="1" ht="16" customHeight="1" x14ac:dyDescent="0.2">
      <c r="A1" s="4" t="s">
        <v>9</v>
      </c>
      <c r="B1" s="4" t="s">
        <v>3</v>
      </c>
      <c r="C1" s="4" t="s">
        <v>26</v>
      </c>
      <c r="D1" s="4" t="s">
        <v>27</v>
      </c>
      <c r="E1" s="4" t="s">
        <v>28</v>
      </c>
    </row>
    <row r="2" spans="1:5" s="1" customFormat="1" ht="16" customHeight="1" x14ac:dyDescent="0.2">
      <c r="A2" s="4" t="s">
        <v>114</v>
      </c>
      <c r="B2" s="4" t="s">
        <v>115</v>
      </c>
      <c r="C2" s="4" t="s">
        <v>116</v>
      </c>
      <c r="D2" s="4" t="s">
        <v>117</v>
      </c>
      <c r="E2" s="4" t="s">
        <v>118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D26" sqref="D26"/>
    </sheetView>
  </sheetViews>
  <sheetFormatPr baseColWidth="10" defaultRowHeight="1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CC04FF-BCEA-6444-AD1A-AB68393E16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GlobalETF</vt:lpstr>
      <vt:lpstr>GrowthEngine</vt:lpstr>
      <vt:lpstr>IncomeStrategy</vt:lpstr>
      <vt:lpstr>Gold</vt:lpstr>
      <vt:lpstr>Todo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 Kiat Koh</cp:lastModifiedBy>
  <dcterms:created xsi:type="dcterms:W3CDTF">2026-01-14T14:20:58Z</dcterms:created>
  <dcterms:modified xsi:type="dcterms:W3CDTF">2026-02-24T09:52:14Z</dcterms:modified>
</cp:coreProperties>
</file>