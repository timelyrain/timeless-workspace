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D96A9371-C299-8145-8C08-C325E094E9C9}" xr6:coauthVersionLast="47" xr6:coauthVersionMax="47" xr10:uidLastSave="{00000000-0000-0000-0000-000000000000}"/>
  <bookViews>
    <workbookView xWindow="660" yWindow="980" windowWidth="39780" windowHeight="2358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4" i="1"/>
  <c r="M11" i="1"/>
  <c r="M19" i="1"/>
  <c r="M20" i="1"/>
  <c r="M21" i="1"/>
  <c r="M22" i="1"/>
  <c r="I21" i="1"/>
  <c r="F21" i="1"/>
  <c r="I11" i="1" a="1"/>
  <c r="I11" i="1" s="1"/>
  <c r="F11" i="1" a="1"/>
  <c r="F11" i="1" s="1"/>
  <c r="I19" i="1" a="1"/>
  <c r="I19" i="1" s="1"/>
  <c r="F19" i="1" a="1"/>
  <c r="F19" i="1" s="1"/>
  <c r="I16" i="1"/>
  <c r="F16" i="1"/>
  <c r="F14" i="1"/>
  <c r="I14" i="1"/>
  <c r="C24" i="1"/>
  <c r="K14" i="1" l="1"/>
  <c r="I17" i="1"/>
  <c r="I13" i="1"/>
  <c r="I10" i="1"/>
  <c r="I9" i="1"/>
  <c r="F17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H2" i="1" s="1"/>
  <c r="A58" i="1"/>
  <c r="A57" i="1"/>
  <c r="A56" i="1"/>
  <c r="A55" i="1"/>
  <c r="A54" i="1"/>
  <c r="A53" i="1"/>
  <c r="A52" i="1"/>
  <c r="E2" i="1" l="1"/>
  <c r="K17" i="1"/>
  <c r="K9" i="1"/>
  <c r="G46" i="1"/>
  <c r="K23" i="1"/>
  <c r="C58" i="1" s="1"/>
  <c r="K10" i="1"/>
  <c r="K8" i="1"/>
  <c r="K7" i="1"/>
  <c r="K5" i="1"/>
  <c r="K6" i="1"/>
  <c r="K20" i="1"/>
  <c r="C55" i="1" s="1"/>
  <c r="K21" i="1"/>
  <c r="C56" i="1" s="1"/>
  <c r="K22" i="1"/>
  <c r="C57" i="1" s="1"/>
  <c r="K12" i="1"/>
  <c r="K13" i="1"/>
  <c r="K15" i="1"/>
  <c r="K18" i="1"/>
  <c r="K16" i="1"/>
  <c r="K19" i="1"/>
  <c r="C54" i="1" s="1"/>
  <c r="K4" i="1"/>
  <c r="C52" i="1" s="1"/>
  <c r="H21" i="1" l="1"/>
  <c r="H20" i="1"/>
  <c r="H19" i="1"/>
  <c r="J19" i="1" s="1"/>
  <c r="H23" i="1"/>
  <c r="H22" i="1"/>
  <c r="H11" i="1"/>
  <c r="H4" i="1"/>
  <c r="H9" i="1" s="1"/>
  <c r="J9" i="1" s="1"/>
  <c r="K11" i="1"/>
  <c r="C53" i="1" s="1"/>
  <c r="E20" i="1" l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D20" i="1" l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L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L17" i="1" s="1"/>
  <c r="D14" i="1"/>
  <c r="L14" i="1" s="1"/>
  <c r="B53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8" i="1"/>
  <c r="L23" i="1"/>
  <c r="B54" i="1"/>
  <c r="L19" i="1"/>
  <c r="B52" i="1"/>
  <c r="D7" i="1"/>
  <c r="L7" i="1" s="1"/>
  <c r="D8" i="1"/>
  <c r="L8" i="1" s="1"/>
  <c r="D6" i="1"/>
  <c r="L6" i="1" s="1"/>
  <c r="D5" i="1"/>
  <c r="L5" i="1" s="1"/>
  <c r="D10" i="1"/>
  <c r="L10" i="1" s="1"/>
  <c r="L4" i="1"/>
  <c r="B57" i="1"/>
  <c r="L22" i="1"/>
  <c r="B56" i="1" l="1"/>
  <c r="L21" i="1"/>
  <c r="L20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<sst xmlns="http://schemas.openxmlformats.org/spreadsheetml/2006/main" count="271" uniqueCount="197">
  <si>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</si>
  <si>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</si>
  <si>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</si>
  <si>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</si>
  <si>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</si>
  <si>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</si>
  <si>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</si>
  <si>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</si>
  <si>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</si>
  <si>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</si>
  <si>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</si>
  <si>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</si>
  <si>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</si>
  <si>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</si>
  <si>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</si>
  <si>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</si>
  <si>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</si>
  <si>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</si>
  <si>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</si>
  <si>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</si>
  <si>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</si>
  <si>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</si>
  <si>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</si>
  <si>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</si>
  <si>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</si>
  <si>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</si>
  <si>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</si>
  <si>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</si>
  <si>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</si>
  <si>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</si>
  <si>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</si>
  <si>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</si>
  <si>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</si>
  <si>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</si>
  <si>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</si>
  <si>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</si>
  <si>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</si>
  <si>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</si>
  <si>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</si>
  <si>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</si>
  <si>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</si>
  <si>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</si>
  <si>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</si>
  <si>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</si>
  <si>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</si>
  <si>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</si>
  <si>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</si>
  <si>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</si>
  <si>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</si>
  <si>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</si>
  <si>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</si>
  <si>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</si>
  <si>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</si>
  <si>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</si>
  <si>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</si>
  <si>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</si>
  <si>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</si>
  <si>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</si>
  <si>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</si>
  <si>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</si>
  <si>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</si>
  <si>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</si>
  <si>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</si>
  <si>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</si>
  <si>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</si>
  <si>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</si>
  <si>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</si>
  <si>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</si>
  <si>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</si>
  <si>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</si>
  <si>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</si>
  <si>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</si>
  <si>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</si>
  <si>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</si>
  <si>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</si>
  <si>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</si>
  <si>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</si>
  <si>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</si>
  <si>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</si>
  <si>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</si>
  <si>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</si>
  <si>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</si>
  <si>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</si>
  <si>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</si>
  <si>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</si>
  <si>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</si>
  <si>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</si>
  <si>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</si>
  <si>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</si>
  <si>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</si>
  <si>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</si>
  <si>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</si>
  <si>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</si>
  <si>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</si>
  <si>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</si>
  <si>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</si>
  <si>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</si>
  <si>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</si>
  <si>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</si>
  <si>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</si>
  <si>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</si>
  <si>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</si>
  <si>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</si>
  <si>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</si>
  <si>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</si>
  <si>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</si>
  <si>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</si>
  <si>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</si>
  <si>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</si>
  <si>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</si>
  <si>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</si>
  <si>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</si>
  <si>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</si>
  <si>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</si>
  <si>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</si>
  <si>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</si>
  <si>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</si>
  <si>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</si>
  <si>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</si>
  <si>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</si>
  <si>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Biotic (HEAL)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</si>
  <si>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</si>
  <si>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</si>
  <si>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</si>
  <si>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</si>
  <si>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</si>
  <si>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</si>
  <si>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</si>
  <si>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</si>
  <si>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</si>
  <si>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</si>
  <si>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</si>
  <si>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XMME (EM, unhedged)</t>
  </si>
  <si>
    <t>CHF</t>
  </si>
  <si>
    <t>Nasdaq (CSNDX)</t>
  </si>
  <si>
    <t>Nasdaq (EQCH, hedged)</t>
  </si>
  <si>
    <t>Energy (GRID)</t>
  </si>
  <si>
    <t>China Tech (CBUK, unhedged)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</si>
  <si>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</si>
  <si>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</si>
  <si>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</si>
  <si>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</si>
  <si>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</si>
  <si>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</si>
  <si>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</si>
  <si>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</si>
  <si>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</si>
  <si>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</si>
  <si>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</si>
  <si>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</si>
  <si>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</si>
  <si>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</si>
  <si>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</si>
  <si>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</si>
  <si>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</si>
  <si>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</si>
  <si>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</si>
  <si>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</si>
  <si>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</si>
  <si>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</si>
  <si>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</si>
  <si>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</si>
  <si>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</si>
  <si>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</si>
  <si>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</si>
  <si>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</si>
  <si>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</si>
  <si>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GRID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</si>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</sst>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4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6" fillId="0" borderId="0" xfId="0" applyFont="1"/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165" fontId="5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5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5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5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4" fontId="5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  <xf numFmtId="0" fontId="16" fillId="0" borderId="0" xfId="0" applyFont="1"/>
    <xf numFmtId="164" fontId="1" fillId="0" borderId="0" xfId="2" applyNumberFormat="1"/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34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numFmt numFmtId="165" formatCode="_(&quot;$&quot;* #,##0_);_(&quot;$&quot;* \(#,##0\);_(&quot;$&quot;* &quot;-&quot;??_);_(@_)"/>
    </dxf>
    <dxf>
      <font>
        <b/>
      </font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303025.54100999999</c:v>
                </c:pt>
                <c:pt idx="1">
                  <c:v>303025.54100999999</c:v>
                </c:pt>
                <c:pt idx="2">
                  <c:v>252521.28417499998</c:v>
                </c:pt>
                <c:pt idx="3">
                  <c:v>25252.1284175</c:v>
                </c:pt>
                <c:pt idx="4">
                  <c:v>25252.1284175</c:v>
                </c:pt>
                <c:pt idx="5">
                  <c:v>50504.256835</c:v>
                </c:pt>
                <c:pt idx="6">
                  <c:v>50504.256835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295003.50795</c:v>
                </c:pt>
                <c:pt idx="1">
                  <c:v>207257.3</c:v>
                </c:pt>
                <c:pt idx="2">
                  <c:v>149223.32</c:v>
                </c:pt>
                <c:pt idx="3">
                  <c:v>14204.140000000005</c:v>
                </c:pt>
                <c:pt idx="4">
                  <c:v>12783.44</c:v>
                </c:pt>
                <c:pt idx="5">
                  <c:v>11690.70875</c:v>
                </c:pt>
                <c:pt idx="6">
                  <c:v>319922.71999999997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0.68327152991756324</c:v>
                </c:pt>
                <c:pt idx="1">
                  <c:v>0.31672847008243676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dLbl>
              <c:idx val="4"/>
              <c:layout>
                <c:manualLayout>
                  <c:x val="-1.2048192771084338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24</xdr:row>
      <xdr:rowOff>88900</xdr:rowOff>
    </xdr:from>
    <xdr:to>
      <xdr:col>9</xdr:col>
      <xdr:colOff>12700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114300</xdr:colOff>
      <xdr:row>24</xdr:row>
      <xdr:rowOff>88900</xdr:rowOff>
    </xdr:from>
    <xdr:to>
      <xdr:col>12</xdr:col>
      <xdr:colOff>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20620.006874999999</v>
          </cell>
        </row>
        <row r="4">
          <cell r="D4" t="str">
            <v>STK</v>
          </cell>
          <cell r="F4" t="str">
            <v>XMME</v>
          </cell>
          <cell r="V4">
            <v>12303.125249999999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ES3</v>
          </cell>
          <cell r="V7">
            <v>19632.5314</v>
          </cell>
        </row>
        <row r="8">
          <cell r="D8" t="str">
            <v>STK</v>
          </cell>
          <cell r="F8" t="str">
            <v>GSD</v>
          </cell>
          <cell r="V8">
            <v>11690.70875</v>
          </cell>
        </row>
        <row r="9">
          <cell r="D9" t="str">
            <v>STK</v>
          </cell>
          <cell r="F9" t="str">
            <v>BITO</v>
          </cell>
          <cell r="V9">
            <v>1160</v>
          </cell>
        </row>
        <row r="10">
          <cell r="D10" t="str">
            <v>STK</v>
          </cell>
          <cell r="F10" t="str">
            <v>CELH</v>
          </cell>
          <cell r="V10">
            <v>2624</v>
          </cell>
        </row>
        <row r="11">
          <cell r="D11" t="str">
            <v>STK</v>
          </cell>
          <cell r="F11" t="str">
            <v>CHA</v>
          </cell>
          <cell r="V11">
            <v>1172</v>
          </cell>
        </row>
        <row r="12">
          <cell r="D12" t="str">
            <v>STK</v>
          </cell>
          <cell r="F12" t="str">
            <v>CSNDX</v>
          </cell>
          <cell r="V12">
            <v>22122</v>
          </cell>
        </row>
        <row r="13">
          <cell r="D13" t="str">
            <v>STK</v>
          </cell>
          <cell r="F13" t="str">
            <v>GOOGL</v>
          </cell>
          <cell r="V13">
            <v>33800</v>
          </cell>
        </row>
        <row r="14">
          <cell r="D14" t="str">
            <v>STK</v>
          </cell>
          <cell r="F14" t="str">
            <v>HEAL</v>
          </cell>
          <cell r="V14">
            <v>9292.5</v>
          </cell>
        </row>
        <row r="15">
          <cell r="D15" t="str">
            <v>STK</v>
          </cell>
          <cell r="F15" t="str">
            <v>INRA</v>
          </cell>
          <cell r="V15">
            <v>10418.75</v>
          </cell>
        </row>
        <row r="16">
          <cell r="D16" t="str">
            <v>STK</v>
          </cell>
          <cell r="F16" t="str">
            <v>LKNCY</v>
          </cell>
          <cell r="V16">
            <v>3337</v>
          </cell>
        </row>
        <row r="17">
          <cell r="D17" t="str">
            <v>STK</v>
          </cell>
          <cell r="F17" t="str">
            <v>LOCK</v>
          </cell>
          <cell r="V17">
            <v>9824</v>
          </cell>
        </row>
        <row r="18">
          <cell r="D18" t="str">
            <v>STK</v>
          </cell>
          <cell r="F18" t="str">
            <v>NVDA</v>
          </cell>
          <cell r="V18">
            <v>38226</v>
          </cell>
        </row>
        <row r="19">
          <cell r="D19" t="str">
            <v>STK</v>
          </cell>
          <cell r="F19" t="str">
            <v>ORCL</v>
          </cell>
          <cell r="V19">
            <v>16458</v>
          </cell>
        </row>
        <row r="20">
          <cell r="D20" t="str">
            <v>STK</v>
          </cell>
          <cell r="F20" t="str">
            <v>SE</v>
          </cell>
          <cell r="V20">
            <v>2329.8000000000002</v>
          </cell>
        </row>
        <row r="21">
          <cell r="D21" t="str">
            <v>STK</v>
          </cell>
          <cell r="F21" t="str">
            <v>VWRA</v>
          </cell>
          <cell r="V21">
            <v>34940</v>
          </cell>
        </row>
        <row r="22">
          <cell r="D22" t="str">
            <v>OPT</v>
          </cell>
          <cell r="F22" t="str">
            <v>QQQ   261218P00560000</v>
          </cell>
          <cell r="V22">
            <v>5162.9399999999996</v>
          </cell>
        </row>
        <row r="23">
          <cell r="D23" t="str">
            <v>OPT</v>
          </cell>
          <cell r="F23" t="str">
            <v>SPY   261218P00620000</v>
          </cell>
          <cell r="V23">
            <v>4235.1400000000003</v>
          </cell>
        </row>
        <row r="24">
          <cell r="D24" t="str">
            <v>FOP</v>
          </cell>
          <cell r="F24" t="str">
            <v>EW2G6 P6525</v>
          </cell>
          <cell r="V24">
            <v>875</v>
          </cell>
        </row>
        <row r="25">
          <cell r="D25" t="str">
            <v>FOP</v>
          </cell>
          <cell r="F25" t="str">
            <v>EW2G6 C7300</v>
          </cell>
          <cell r="V25">
            <v>25</v>
          </cell>
        </row>
        <row r="26">
          <cell r="D26" t="str">
            <v>OPT</v>
          </cell>
          <cell r="F26" t="str">
            <v>GOOGL 260227P00310000</v>
          </cell>
          <cell r="V26">
            <v>-420.01</v>
          </cell>
        </row>
        <row r="27">
          <cell r="D27" t="str">
            <v>OPT</v>
          </cell>
          <cell r="F27" t="str">
            <v>GOOGL 260227C00370000</v>
          </cell>
          <cell r="V27">
            <v>-422.62</v>
          </cell>
        </row>
        <row r="28">
          <cell r="D28" t="str">
            <v>OPT</v>
          </cell>
          <cell r="F28" t="str">
            <v>ORCL  260213C00175000</v>
          </cell>
          <cell r="V28">
            <v>-330</v>
          </cell>
        </row>
        <row r="29">
          <cell r="D29" t="str">
            <v>OPT</v>
          </cell>
          <cell r="F29" t="str">
            <v>ORCL  260220C00200000</v>
          </cell>
          <cell r="V29">
            <v>-74.5</v>
          </cell>
        </row>
        <row r="30">
          <cell r="D30" t="str">
            <v>OPT</v>
          </cell>
          <cell r="F30" t="str">
            <v>QQQ   261218P00425000</v>
          </cell>
          <cell r="V30">
            <v>-1433.36</v>
          </cell>
        </row>
        <row r="31">
          <cell r="D31" t="str">
            <v>OPT</v>
          </cell>
          <cell r="F31" t="str">
            <v>SPY   261218P00505000</v>
          </cell>
          <cell r="V31">
            <v>-1573</v>
          </cell>
        </row>
        <row r="32">
          <cell r="D32" t="str">
            <v>FOP</v>
          </cell>
          <cell r="F32" t="str">
            <v>EW2G6 P6625</v>
          </cell>
          <cell r="V32">
            <v>-1350</v>
          </cell>
        </row>
        <row r="33">
          <cell r="D33" t="str">
            <v>FOP</v>
          </cell>
          <cell r="F33" t="str">
            <v>EW2G6 C7200</v>
          </cell>
          <cell r="V33">
            <v>-215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25202.230625</v>
          </cell>
        </row>
        <row r="4">
          <cell r="D4" t="str">
            <v>STK</v>
          </cell>
          <cell r="F4" t="str">
            <v>XMME</v>
          </cell>
          <cell r="V4">
            <v>16404.167000000001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DHL</v>
          </cell>
          <cell r="V7">
            <v>56074.2</v>
          </cell>
        </row>
        <row r="8">
          <cell r="D8" t="str">
            <v>STK</v>
          </cell>
          <cell r="F8" t="str">
            <v>ES3</v>
          </cell>
          <cell r="V8">
            <v>39265.0628</v>
          </cell>
        </row>
        <row r="9">
          <cell r="D9" t="str">
            <v>STK</v>
          </cell>
          <cell r="F9" t="str">
            <v>BITO</v>
          </cell>
          <cell r="V9">
            <v>2320</v>
          </cell>
        </row>
        <row r="10">
          <cell r="D10" t="str">
            <v>STK</v>
          </cell>
          <cell r="F10" t="str">
            <v>CSNDX</v>
          </cell>
          <cell r="V10">
            <v>29496</v>
          </cell>
        </row>
        <row r="11">
          <cell r="D11" t="str">
            <v>STK</v>
          </cell>
          <cell r="F11" t="str">
            <v>GOOGL</v>
          </cell>
          <cell r="V11">
            <v>33800</v>
          </cell>
        </row>
        <row r="12">
          <cell r="D12" t="str">
            <v>STK</v>
          </cell>
          <cell r="F12" t="str">
            <v>HEAL</v>
          </cell>
          <cell r="V12">
            <v>9292.5</v>
          </cell>
        </row>
        <row r="13">
          <cell r="D13" t="str">
            <v>STK</v>
          </cell>
          <cell r="F13" t="str">
            <v>IBKR</v>
          </cell>
          <cell r="V13">
            <v>1261.3399999999999</v>
          </cell>
        </row>
        <row r="14">
          <cell r="D14" t="str">
            <v>STK</v>
          </cell>
          <cell r="F14" t="str">
            <v>INRA</v>
          </cell>
          <cell r="V14">
            <v>10418.75</v>
          </cell>
        </row>
        <row r="15">
          <cell r="D15" t="str">
            <v>STK</v>
          </cell>
          <cell r="F15" t="str">
            <v>JPM</v>
          </cell>
          <cell r="V15">
            <v>30589</v>
          </cell>
        </row>
        <row r="16">
          <cell r="D16" t="str">
            <v>STK</v>
          </cell>
          <cell r="F16" t="str">
            <v>LOCK</v>
          </cell>
          <cell r="V16">
            <v>9824</v>
          </cell>
        </row>
        <row r="17">
          <cell r="D17" t="str">
            <v>STK</v>
          </cell>
          <cell r="F17" t="str">
            <v>VWRA</v>
          </cell>
          <cell r="V17">
            <v>52410</v>
          </cell>
        </row>
        <row r="18">
          <cell r="D18" t="str">
            <v>OPT</v>
          </cell>
          <cell r="F18" t="str">
            <v>QQQ   261218P00560000</v>
          </cell>
          <cell r="V18">
            <v>5162.9399999999996</v>
          </cell>
        </row>
        <row r="19">
          <cell r="D19" t="str">
            <v>OPT</v>
          </cell>
          <cell r="F19" t="str">
            <v>SPY   261218P00620000</v>
          </cell>
          <cell r="V19">
            <v>4235.1400000000003</v>
          </cell>
        </row>
        <row r="20">
          <cell r="D20" t="str">
            <v>OPT</v>
          </cell>
          <cell r="F20" t="str">
            <v>GOOGL 260206C00335000</v>
          </cell>
          <cell r="V20">
            <v>-1210.73</v>
          </cell>
        </row>
        <row r="21">
          <cell r="D21" t="str">
            <v>OPT</v>
          </cell>
          <cell r="F21" t="str">
            <v>GOOGL 260220P00315000</v>
          </cell>
          <cell r="V21">
            <v>-448.82</v>
          </cell>
        </row>
        <row r="22">
          <cell r="D22" t="str">
            <v>OPT</v>
          </cell>
          <cell r="F22" t="str">
            <v>JPM   260206C00315000</v>
          </cell>
          <cell r="V22">
            <v>-78</v>
          </cell>
        </row>
        <row r="23">
          <cell r="D23" t="str">
            <v>OPT</v>
          </cell>
          <cell r="F23" t="str">
            <v>QQQ   261218P00425000</v>
          </cell>
          <cell r="V23">
            <v>-1433.36</v>
          </cell>
        </row>
        <row r="24">
          <cell r="D24" t="str">
            <v>OPT</v>
          </cell>
          <cell r="F24" t="str">
            <v>SPY   261218P00505000</v>
          </cell>
          <cell r="V24">
            <v>-1573</v>
          </cell>
        </row>
      </sheetData>
      <sheetData sheetId="2">
        <row r="2">
          <cell r="C2" t="str">
            <v>$138,115.20</v>
          </cell>
        </row>
        <row r="3">
          <cell r="C3" t="str">
            <v>$181,807.52</v>
          </cell>
        </row>
      </sheetData>
      <sheetData sheetId="3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 headerRowDxfId="33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32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showGridLines="0" tabSelected="1" zoomScaleNormal="100" workbookViewId="0">
      <selection activeCell="M23" sqref="M23"/>
    </sheetView>
  </sheetViews>
  <sheetFormatPr baseColWidth="10" defaultColWidth="38.6640625" defaultRowHeight="16" x14ac:dyDescent="0.2"/>
  <cols>
    <col min="1" max="1" width="61" style="1" bestFit="1" customWidth="1"/>
    <col min="2" max="2" width="10.5" style="1" bestFit="1" customWidth="1"/>
    <col min="3" max="3" width="9.5" style="1" bestFit="1" customWidth="1"/>
    <col min="4" max="4" width="12.83203125" style="1" bestFit="1" customWidth="1"/>
    <col min="5" max="6" width="16.5" style="1" bestFit="1" customWidth="1"/>
    <col min="7" max="7" width="11.6640625" style="1" bestFit="1" customWidth="1"/>
    <col min="8" max="9" width="16.5" style="1" bestFit="1" customWidth="1"/>
    <col min="10" max="10" width="17" style="1" customWidth="1"/>
    <col min="11" max="11" width="15.5" style="1" bestFit="1" customWidth="1"/>
    <col min="12" max="12" width="10.5" style="1" bestFit="1" customWidth="1"/>
    <col min="13" max="13" width="38.6640625" style="1" customWidth="1"/>
    <col min="14" max="16384" width="38.6640625" style="1"/>
  </cols>
  <sheetData>
    <row r="1" spans="1:13" x14ac:dyDescent="0.2">
      <c r="A1" s="37"/>
      <c r="E1" s="22" t="s">
        <v>0</v>
      </c>
      <c r="G1" s="30"/>
      <c r="H1" s="22" t="s">
        <v>1</v>
      </c>
      <c r="J1" s="30"/>
      <c r="K1" s="41"/>
      <c r="L1" s="30"/>
    </row>
    <row r="2" spans="1:13" x14ac:dyDescent="0.2">
      <c r="A2" s="37" t="s">
        <v>2</v>
      </c>
      <c r="C2" s="9">
        <v>1</v>
      </c>
      <c r="E2" s="23">
        <f>F4+F11+F19+F22+F23+F20+F21</f>
        <v>449905.70427499997</v>
      </c>
      <c r="F2" s="24"/>
      <c r="G2" s="31"/>
      <c r="H2" s="23">
        <f>I4+I11+I19+I22+I23+I20+I21</f>
        <v>560179.43242499989</v>
      </c>
      <c r="I2" s="24"/>
      <c r="J2" s="31"/>
      <c r="K2" s="41"/>
      <c r="L2" s="30"/>
    </row>
    <row r="3" spans="1:13" x14ac:dyDescent="0.2">
      <c r="A3" s="38" t="s">
        <v>3</v>
      </c>
      <c r="B3" s="46" t="s">
        <v>130</v>
      </c>
      <c r="C3" s="11" t="s">
        <v>4</v>
      </c>
      <c r="D3" s="11" t="s">
        <v>5</v>
      </c>
      <c r="E3" s="25" t="s">
        <v>5</v>
      </c>
      <c r="F3" s="11" t="s">
        <v>125</v>
      </c>
      <c r="G3" s="32" t="s">
        <v>129</v>
      </c>
      <c r="H3" s="25" t="s">
        <v>5</v>
      </c>
      <c r="I3" s="11" t="s">
        <v>125</v>
      </c>
      <c r="J3" s="32" t="s">
        <v>7</v>
      </c>
      <c r="K3" s="25" t="s">
        <v>6</v>
      </c>
      <c r="L3" s="32" t="s">
        <v>7</v>
      </c>
    </row>
    <row r="4" spans="1:13" x14ac:dyDescent="0.2">
      <c r="A4" s="39" t="s">
        <v>138</v>
      </c>
      <c r="B4" s="47"/>
      <c r="C4" s="48">
        <v>0.3</v>
      </c>
      <c r="D4" s="19">
        <f>$G$42*C4</f>
        <v>303025.54100999999</v>
      </c>
      <c r="E4" s="26">
        <f>$E$2*C4</f>
        <v>134971.71128249998</v>
      </c>
      <c r="F4" s="19" cm="1">
        <f t="array" ref="F4">SUMPRODUCT(SUMIFS([1]PositionsHK!V:V,[1]PositionsHK!F:F,GlobalETF!A:A))</f>
        <v>96571.755525</v>
      </c>
      <c r="G4" s="33">
        <f>F4/E4</f>
        <v>0.71549626664266208</v>
      </c>
      <c r="H4" s="26">
        <f>$H$2*C4</f>
        <v>168053.82972749995</v>
      </c>
      <c r="I4" s="19" cm="1">
        <f t="array" ref="I4">SUMPRODUCT(SUMIFS([1]PositionsAL!V:V,[1]PositionsAL!F:F,GlobalETF!A:A))</f>
        <v>198431.75242500001</v>
      </c>
      <c r="J4" s="33">
        <f>I4/H4</f>
        <v>1.1807630492370094</v>
      </c>
      <c r="K4" s="42">
        <f t="shared" ref="K4:K23" si="0">F4+I4</f>
        <v>295003.50795</v>
      </c>
      <c r="L4" s="33">
        <f t="shared" ref="L4:L23" si="1">K4/D4</f>
        <v>0.97352687488565437</v>
      </c>
      <c r="M4" s="54">
        <f t="shared" ref="M4:M21" si="2">K4/$G$42</f>
        <v>0.29205806246569632</v>
      </c>
    </row>
    <row r="5" spans="1:13" x14ac:dyDescent="0.2">
      <c r="A5" s="40" t="s">
        <v>121</v>
      </c>
      <c r="B5" s="47" t="s">
        <v>11</v>
      </c>
      <c r="C5" s="49">
        <v>0.1</v>
      </c>
      <c r="D5" s="20">
        <f>$D$4*C5</f>
        <v>30302.554101000002</v>
      </c>
      <c r="E5" s="27">
        <f>$E$4*C5</f>
        <v>13497.171128249998</v>
      </c>
      <c r="F5" s="20">
        <f>SUMIFS([1]PositionsHK!V:V,[1]PositionsHK!F:F,"82846")</f>
        <v>9076.0920000000006</v>
      </c>
      <c r="G5" s="34">
        <f>F5/E5</f>
        <v>0.6724440191028962</v>
      </c>
      <c r="H5" s="27">
        <f>$H$4*C5</f>
        <v>16805.382972749994</v>
      </c>
      <c r="I5" s="20">
        <f>SUMIFS([1]PositionsAL!V:V,[1]PositionsAL!F:F,"82846")</f>
        <v>9076.0920000000006</v>
      </c>
      <c r="J5" s="34">
        <f>I5/H5</f>
        <v>0.54007052470728723</v>
      </c>
      <c r="K5" s="43">
        <f t="shared" ref="K5:K7" si="3">F5+I5</f>
        <v>18152.184000000001</v>
      </c>
      <c r="L5" s="34">
        <f t="shared" ref="L5:L7" si="4">K5/D5</f>
        <v>0.59903148558031838</v>
      </c>
      <c r="M5" s="54"/>
    </row>
    <row r="6" spans="1:13" x14ac:dyDescent="0.2">
      <c r="A6" s="40" t="s">
        <v>122</v>
      </c>
      <c r="B6" s="47" t="s">
        <v>13</v>
      </c>
      <c r="C6" s="49">
        <v>0.2</v>
      </c>
      <c r="D6" s="20">
        <f t="shared" ref="D6:D10" si="5">$D$4*C6</f>
        <v>60605.108202000003</v>
      </c>
      <c r="E6" s="27">
        <f t="shared" ref="E6:E10" si="6">$E$4*C6</f>
        <v>26994.342256499996</v>
      </c>
      <c r="F6" s="20">
        <f>SUMIFS([1]PositionsHK!V:V,[1]PositionsHK!F:F,"DHL")</f>
        <v>0</v>
      </c>
      <c r="G6" s="34">
        <f t="shared" ref="G6:G7" si="7">F6/E6</f>
        <v>0</v>
      </c>
      <c r="H6" s="27">
        <f t="shared" ref="H6:H10" si="8">$H$4*C6</f>
        <v>33610.765945499988</v>
      </c>
      <c r="I6" s="20">
        <f>SUMIFS([1]PositionsAL!V:V,[1]PositionsAL!F:F,"DHL")</f>
        <v>56074.2</v>
      </c>
      <c r="J6" s="34">
        <f t="shared" ref="J6:J7" si="9">I6/H6</f>
        <v>1.6683404386238794</v>
      </c>
      <c r="K6" s="43">
        <f t="shared" si="3"/>
        <v>56074.2</v>
      </c>
      <c r="L6" s="34">
        <f t="shared" si="4"/>
        <v>0.92523883982026311</v>
      </c>
      <c r="M6" s="54"/>
    </row>
    <row r="7" spans="1:13" x14ac:dyDescent="0.2">
      <c r="A7" s="40" t="s">
        <v>123</v>
      </c>
      <c r="B7" s="47" t="s">
        <v>15</v>
      </c>
      <c r="C7" s="49">
        <v>0.2</v>
      </c>
      <c r="D7" s="20">
        <f t="shared" si="5"/>
        <v>60605.108202000003</v>
      </c>
      <c r="E7" s="27">
        <f t="shared" si="6"/>
        <v>26994.342256499996</v>
      </c>
      <c r="F7" s="20">
        <f>SUMIFS([1]PositionsHK!V:V,[1]PositionsHK!F:F,"ES3")</f>
        <v>19632.5314</v>
      </c>
      <c r="G7" s="34">
        <f t="shared" si="7"/>
        <v>0.72728319191673074</v>
      </c>
      <c r="H7" s="27">
        <f t="shared" si="8"/>
        <v>33610.765945499988</v>
      </c>
      <c r="I7" s="20">
        <f>SUMIFS([1]PositionsAL!V:V,[1]PositionsAL!F:F,"ES3")</f>
        <v>39265.0628</v>
      </c>
      <c r="J7" s="34">
        <f t="shared" si="9"/>
        <v>1.1682287414594621</v>
      </c>
      <c r="K7" s="43">
        <f t="shared" si="3"/>
        <v>58897.5942</v>
      </c>
      <c r="L7" s="34">
        <f t="shared" si="4"/>
        <v>0.97182557621531229</v>
      </c>
      <c r="M7" s="54"/>
    </row>
    <row r="8" spans="1:13" x14ac:dyDescent="0.2">
      <c r="A8" s="40" t="s">
        <v>124</v>
      </c>
      <c r="B8" s="47" t="s">
        <v>17</v>
      </c>
      <c r="C8" s="49">
        <v>0.25</v>
      </c>
      <c r="D8" s="20">
        <f t="shared" si="5"/>
        <v>75756.385252499997</v>
      </c>
      <c r="E8" s="27">
        <f t="shared" si="6"/>
        <v>33742.927820624995</v>
      </c>
      <c r="F8" s="20">
        <f>SUMIFS([1]PositionsHK!V:V,[1]PositionsHK!F:F,"VWRA")</f>
        <v>34940</v>
      </c>
      <c r="G8" s="34">
        <f>F8/E8</f>
        <v>1.0354762392208097</v>
      </c>
      <c r="H8" s="27">
        <f t="shared" si="8"/>
        <v>42013.457431874987</v>
      </c>
      <c r="I8" s="20">
        <f>SUMIFS([1]PositionsAL!V:V,[1]PositionsAL!F:F,"VWRA")</f>
        <v>52410</v>
      </c>
      <c r="J8" s="34">
        <f>I8/H8</f>
        <v>1.2474574387262236</v>
      </c>
      <c r="K8" s="43">
        <f>F8+I8</f>
        <v>87350</v>
      </c>
      <c r="L8" s="34">
        <f>K8/D8</f>
        <v>1.1530381196100881</v>
      </c>
      <c r="M8" s="54"/>
    </row>
    <row r="9" spans="1:13" x14ac:dyDescent="0.2">
      <c r="A9" s="40" t="s">
        <v>131</v>
      </c>
      <c r="B9" s="47" t="s">
        <v>133</v>
      </c>
      <c r="C9" s="49">
        <v>0.15</v>
      </c>
      <c r="D9" s="20">
        <f t="shared" ref="D9" si="10">$D$4*C9</f>
        <v>45453.831151499995</v>
      </c>
      <c r="E9" s="27">
        <f t="shared" ref="E9" si="11">$E$4*C9</f>
        <v>20245.756692374995</v>
      </c>
      <c r="F9" s="20">
        <f>SUMIFS([1]PositionsHK!V:V,[1]PositionsHK!F:F,"WORLD")</f>
        <v>20620.006874999999</v>
      </c>
      <c r="G9" s="34">
        <f>F9/E9</f>
        <v>1.0184853640351192</v>
      </c>
      <c r="H9" s="27">
        <f t="shared" ref="H9" si="12">$H$4*C9</f>
        <v>25208.074459124993</v>
      </c>
      <c r="I9" s="20">
        <f>SUMIFS([1]PositionsAL!V:V,[1]PositionsAL!F:F,"WORLD")</f>
        <v>25202.230625</v>
      </c>
      <c r="J9" s="34">
        <f>I9/H9</f>
        <v>0.999768176100302</v>
      </c>
      <c r="K9" s="43">
        <f>F9+I9</f>
        <v>45822.237500000003</v>
      </c>
      <c r="L9" s="34">
        <f>K9/D9</f>
        <v>1.0081050670354297</v>
      </c>
      <c r="M9" s="54"/>
    </row>
    <row r="10" spans="1:13" x14ac:dyDescent="0.2">
      <c r="A10" s="40" t="s">
        <v>132</v>
      </c>
      <c r="B10" s="47" t="s">
        <v>133</v>
      </c>
      <c r="C10" s="49">
        <v>0.1</v>
      </c>
      <c r="D10" s="20">
        <f t="shared" si="5"/>
        <v>30302.554101000002</v>
      </c>
      <c r="E10" s="27">
        <f t="shared" si="6"/>
        <v>13497.171128249998</v>
      </c>
      <c r="F10" s="20">
        <f>SUMIFS([1]PositionsHK!V:V,[1]PositionsHK!F:F,"XMME")</f>
        <v>12303.125249999999</v>
      </c>
      <c r="G10" s="34">
        <f>F10/E10</f>
        <v>0.91153361938555966</v>
      </c>
      <c r="H10" s="27">
        <f t="shared" si="8"/>
        <v>16805.382972749994</v>
      </c>
      <c r="I10" s="20">
        <f>SUMIFS([1]PositionsAL!V:V,[1]PositionsAL!F:F,"XMME")</f>
        <v>16404.167000000001</v>
      </c>
      <c r="J10" s="34">
        <f>I10/H10</f>
        <v>0.97612574653011086</v>
      </c>
      <c r="K10" s="43">
        <f>F10+I10</f>
        <v>28707.292249999999</v>
      </c>
      <c r="L10" s="34">
        <f>K10/D10</f>
        <v>0.94735553162671005</v>
      </c>
      <c r="M10" s="54"/>
    </row>
    <row r="11" spans="1:13" x14ac:dyDescent="0.2">
      <c r="A11" s="39" t="s">
        <v>139</v>
      </c>
      <c r="B11" s="47"/>
      <c r="C11" s="48">
        <v>0.3</v>
      </c>
      <c r="D11" s="19">
        <f>$G$42*C11</f>
        <v>303025.54100999999</v>
      </c>
      <c r="E11" s="26">
        <f>$E$2*C11</f>
        <v>134971.71128249998</v>
      </c>
      <c r="F11" s="19" cm="1">
        <f t="array" ref="F11">SUMPRODUCT(SUMIFS([1]PositionsHK!V:V,[1]PositionsHK!F:F,GrowthEngine!A:A))</f>
        <v>99941.65</v>
      </c>
      <c r="G11" s="33">
        <f>F11/E11</f>
        <v>0.74046367976189487</v>
      </c>
      <c r="H11" s="26">
        <f>$H$2*C11</f>
        <v>168053.82972749995</v>
      </c>
      <c r="I11" s="19" cm="1">
        <f t="array" ref="I11">SUMPRODUCT(SUMIFS([1]PositionsAL!V:V,[1]PositionsAL!F:F,GrowthEngine!A:A))</f>
        <v>107315.65</v>
      </c>
      <c r="J11" s="33">
        <f>I11/H11</f>
        <v>0.63857902062697891</v>
      </c>
      <c r="K11" s="42">
        <f>F11+I11</f>
        <v>207257.3</v>
      </c>
      <c r="L11" s="34">
        <f>K11/D11</f>
        <v>0.68395983820109874</v>
      </c>
      <c r="M11" s="54">
        <f t="shared" si="2"/>
        <v>0.20518795146032962</v>
      </c>
    </row>
    <row r="12" spans="1:13" x14ac:dyDescent="0.2">
      <c r="A12" s="40" t="s">
        <v>134</v>
      </c>
      <c r="B12" s="47" t="s">
        <v>17</v>
      </c>
      <c r="C12" s="49">
        <v>0.25</v>
      </c>
      <c r="D12" s="20">
        <f t="shared" ref="D12:D18" si="13">$D$11*C12</f>
        <v>75756.385252499997</v>
      </c>
      <c r="E12" s="27">
        <f t="shared" ref="E12:E18" si="14">$E$11*C12</f>
        <v>33742.927820624995</v>
      </c>
      <c r="F12" s="20">
        <f>SUMIFS([1]PositionsHK!V:V,[1]PositionsHK!F:F,"CSNDX")</f>
        <v>22122</v>
      </c>
      <c r="G12" s="34">
        <f>F12/E12</f>
        <v>0.65560404590849319</v>
      </c>
      <c r="H12" s="27">
        <f t="shared" ref="H12:H18" si="15">$H$11*C12</f>
        <v>42013.457431874987</v>
      </c>
      <c r="I12" s="20">
        <f>SUMIFS([1]PositionsAL!V:V,[1]PositionsAL!F:F,"CSNDX")</f>
        <v>29496</v>
      </c>
      <c r="J12" s="34">
        <f>I12/H12</f>
        <v>0.70206076345485013</v>
      </c>
      <c r="K12" s="43">
        <f t="shared" si="0"/>
        <v>51618</v>
      </c>
      <c r="L12" s="34">
        <f t="shared" si="1"/>
        <v>0.68136830747605637</v>
      </c>
      <c r="M12" s="54"/>
    </row>
    <row r="13" spans="1:13" x14ac:dyDescent="0.2">
      <c r="A13" s="40" t="s">
        <v>135</v>
      </c>
      <c r="B13" s="47" t="s">
        <v>133</v>
      </c>
      <c r="C13" s="49">
        <v>0.25</v>
      </c>
      <c r="D13" s="20">
        <f t="shared" si="13"/>
        <v>75756.385252499997</v>
      </c>
      <c r="E13" s="27">
        <f t="shared" si="14"/>
        <v>33742.927820624995</v>
      </c>
      <c r="F13" s="20">
        <f>SUMIFS([1]PositionsHK!V:V,[1]PositionsHK!F:F,"EQCH")</f>
        <v>26620.23</v>
      </c>
      <c r="G13" s="34">
        <f t="shared" ref="G13:G18" si="16">F13/E13</f>
        <v>0.78891286913545999</v>
      </c>
      <c r="H13" s="27">
        <f t="shared" si="15"/>
        <v>42013.457431874987</v>
      </c>
      <c r="I13" s="20">
        <f>SUMIFS([1]PositionsAL!V:V,[1]PositionsAL!F:F,"EQCH")</f>
        <v>26620.23</v>
      </c>
      <c r="J13" s="34">
        <f t="shared" ref="J13:J18" si="17">I13/H13</f>
        <v>0.63361198118876139</v>
      </c>
      <c r="K13" s="43">
        <f t="shared" si="0"/>
        <v>53240.46</v>
      </c>
      <c r="L13" s="34">
        <f t="shared" si="1"/>
        <v>0.70278511603407101</v>
      </c>
      <c r="M13" s="54"/>
    </row>
    <row r="14" spans="1:13" x14ac:dyDescent="0.2">
      <c r="A14" s="40" t="s">
        <v>137</v>
      </c>
      <c r="B14" s="47" t="s">
        <v>133</v>
      </c>
      <c r="C14" s="49">
        <v>0.2</v>
      </c>
      <c r="D14" s="20">
        <f t="shared" si="13"/>
        <v>60605.108202000003</v>
      </c>
      <c r="E14" s="27">
        <f t="shared" ref="E14" si="18">$E$11*C14</f>
        <v>26994.342256499996</v>
      </c>
      <c r="F14" s="20">
        <f>SUMIFS([1]PositionsHK!V:V,[1]PositionsHK!F:F,"CBUK")</f>
        <v>21664.17</v>
      </c>
      <c r="G14" s="34">
        <f t="shared" ref="G14" si="19">F14/E14</f>
        <v>0.8025448367716187</v>
      </c>
      <c r="H14" s="27">
        <f t="shared" ref="H14" si="20">$H$11*C14</f>
        <v>33610.765945499988</v>
      </c>
      <c r="I14" s="20">
        <f>SUMIFS([1]PositionsAL!V:V,[1]PositionsAL!F:F,"CBUK")</f>
        <v>21664.17</v>
      </c>
      <c r="J14" s="34">
        <f t="shared" ref="J14" si="21">I14/H14</f>
        <v>0.64456043742438207</v>
      </c>
      <c r="K14" s="43">
        <f t="shared" ref="K14" si="22">F14+I14</f>
        <v>43328.34</v>
      </c>
      <c r="L14" s="34">
        <f t="shared" ref="L14" si="23">K14/D14</f>
        <v>0.71492884486872577</v>
      </c>
      <c r="M14" s="54"/>
    </row>
    <row r="15" spans="1:13" x14ac:dyDescent="0.2">
      <c r="A15" s="40" t="s">
        <v>120</v>
      </c>
      <c r="B15" s="47" t="s">
        <v>17</v>
      </c>
      <c r="C15" s="49">
        <v>7.4999999999999997E-2</v>
      </c>
      <c r="D15" s="20">
        <f t="shared" si="13"/>
        <v>22726.915575749998</v>
      </c>
      <c r="E15" s="27">
        <f t="shared" si="14"/>
        <v>10122.878346187497</v>
      </c>
      <c r="F15" s="20">
        <f>SUMIFS([1]PositionsHK!V:V,[1]PositionsHK!F:F,"HEAL")</f>
        <v>9292.5</v>
      </c>
      <c r="G15" s="34">
        <f t="shared" si="16"/>
        <v>0.91797013479864287</v>
      </c>
      <c r="H15" s="27">
        <f t="shared" si="15"/>
        <v>12604.037229562497</v>
      </c>
      <c r="I15" s="20">
        <f>SUMIFS([1]PositionsAL!V:V,[1]PositionsAL!F:F,"HEAL")</f>
        <v>9292.5</v>
      </c>
      <c r="J15" s="34">
        <f t="shared" si="17"/>
        <v>0.73726376959635143</v>
      </c>
      <c r="K15" s="43">
        <f t="shared" si="0"/>
        <v>18585</v>
      </c>
      <c r="L15" s="34">
        <f t="shared" si="1"/>
        <v>0.81775285071373738</v>
      </c>
      <c r="M15" s="54"/>
    </row>
    <row r="16" spans="1:13" x14ac:dyDescent="0.2">
      <c r="A16" s="40" t="s">
        <v>9</v>
      </c>
      <c r="B16" s="47" t="s">
        <v>17</v>
      </c>
      <c r="C16" s="49">
        <v>7.4999999999999997E-2</v>
      </c>
      <c r="D16" s="20">
        <f t="shared" si="13"/>
        <v>22726.915575749998</v>
      </c>
      <c r="E16" s="27">
        <f>$E$11*C16</f>
        <v>10122.878346187497</v>
      </c>
      <c r="F16" s="20">
        <f>SUMIFS([1]PositionsHK!V:V,[1]PositionsHK!F:F,"INRA")</f>
        <v>10418.75</v>
      </c>
      <c r="G16" s="34">
        <f>F16/E16</f>
        <v>1.029228016350106</v>
      </c>
      <c r="H16" s="27">
        <f>$H$11*C16</f>
        <v>12604.037229562497</v>
      </c>
      <c r="I16" s="20">
        <f>SUMIFS([1]PositionsAL!V:V,[1]PositionsAL!F:F,"INRA")</f>
        <v>10418.75</v>
      </c>
      <c r="J16" s="34">
        <f>I16/H16</f>
        <v>0.8266200591317715</v>
      </c>
      <c r="K16" s="43">
        <f>F16+I16</f>
        <v>20837.5</v>
      </c>
      <c r="L16" s="34">
        <f>K16/D16</f>
        <v>0.91686440821885939</v>
      </c>
      <c r="M16" s="54"/>
    </row>
    <row r="17" spans="1:13" x14ac:dyDescent="0.2">
      <c r="A17" s="40" t="s">
        <v>136</v>
      </c>
      <c r="B17" s="47" t="s">
        <v>17</v>
      </c>
      <c r="C17" s="49">
        <v>7.4999999999999997E-2</v>
      </c>
      <c r="D17" s="20">
        <f t="shared" si="13"/>
        <v>22726.915575749998</v>
      </c>
      <c r="E17" s="27">
        <f>$E$11*C17</f>
        <v>10122.878346187497</v>
      </c>
      <c r="F17" s="20">
        <f>SUMIFS([1]PositionsHK!V:V,[1]PositionsHK!F:F,"GRID")</f>
        <v>0</v>
      </c>
      <c r="G17" s="34">
        <f>F17/E17</f>
        <v>0</v>
      </c>
      <c r="H17" s="27">
        <f>$H$11*C17</f>
        <v>12604.037229562497</v>
      </c>
      <c r="I17" s="20">
        <f>SUMIFS([1]PositionsAL!V:V,[1]PositionsAL!F:F,"GRID")</f>
        <v>0</v>
      </c>
      <c r="J17" s="34">
        <f>I17/H17</f>
        <v>0</v>
      </c>
      <c r="K17" s="43">
        <f>F17+I17</f>
        <v>0</v>
      </c>
      <c r="L17" s="34">
        <f>K17/D17</f>
        <v>0</v>
      </c>
      <c r="M17" s="54"/>
    </row>
    <row r="18" spans="1:13" x14ac:dyDescent="0.2">
      <c r="A18" s="40" t="s">
        <v>8</v>
      </c>
      <c r="B18" s="47" t="s">
        <v>17</v>
      </c>
      <c r="C18" s="49">
        <v>7.4999999999999997E-2</v>
      </c>
      <c r="D18" s="20">
        <f t="shared" si="13"/>
        <v>22726.915575749998</v>
      </c>
      <c r="E18" s="27">
        <f t="shared" si="14"/>
        <v>10122.878346187497</v>
      </c>
      <c r="F18" s="20">
        <f>SUMIFS([1]PositionsHK!V:V,[1]PositionsHK!F:F,"LOCK")</f>
        <v>9824</v>
      </c>
      <c r="G18" s="34">
        <f t="shared" si="16"/>
        <v>0.97047496413902257</v>
      </c>
      <c r="H18" s="27">
        <f t="shared" si="15"/>
        <v>12604.037229562497</v>
      </c>
      <c r="I18" s="20">
        <f>SUMIFS([1]PositionsAL!V:V,[1]PositionsAL!F:F,"LOCK")</f>
        <v>9824</v>
      </c>
      <c r="J18" s="34">
        <f t="shared" si="17"/>
        <v>0.77943279768787266</v>
      </c>
      <c r="K18" s="43">
        <f t="shared" si="0"/>
        <v>19648</v>
      </c>
      <c r="L18" s="34">
        <f t="shared" si="1"/>
        <v>0.8645255857316928</v>
      </c>
      <c r="M18" s="54"/>
    </row>
    <row r="19" spans="1:13" x14ac:dyDescent="0.2">
      <c r="A19" s="39" t="s">
        <v>185</v>
      </c>
      <c r="B19" s="47" t="s">
        <v>17</v>
      </c>
      <c r="C19" s="48">
        <v>0.25</v>
      </c>
      <c r="D19" s="19">
        <f>$G$42*C19</f>
        <v>252521.28417499998</v>
      </c>
      <c r="E19" s="26">
        <f>$E$2*C19</f>
        <v>112476.42606874999</v>
      </c>
      <c r="F19" s="19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86571.87</v>
      </c>
      <c r="G19" s="33">
        <f>F19/E19</f>
        <v>0.76968901863119199</v>
      </c>
      <c r="H19" s="26">
        <f>$H$2*C19</f>
        <v>140044.85810624997</v>
      </c>
      <c r="I19" s="19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62651.45</v>
      </c>
      <c r="J19" s="33">
        <f t="shared" ref="J19:J23" si="24">I19/H19</f>
        <v>0.44736701402108792</v>
      </c>
      <c r="K19" s="42">
        <f t="shared" si="0"/>
        <v>149223.32</v>
      </c>
      <c r="L19" s="33">
        <f t="shared" si="1"/>
        <v>0.59093363352527006</v>
      </c>
      <c r="M19" s="54">
        <f t="shared" si="2"/>
        <v>0.14773340838131752</v>
      </c>
    </row>
    <row r="20" spans="1:13" x14ac:dyDescent="0.2">
      <c r="A20" s="39" t="s">
        <v>184</v>
      </c>
      <c r="B20" s="47" t="s">
        <v>17</v>
      </c>
      <c r="C20" s="50">
        <v>2.5000000000000001E-2</v>
      </c>
      <c r="D20" s="21">
        <f>$G$42*C20</f>
        <v>25252.1284175</v>
      </c>
      <c r="E20" s="28">
        <f>$E$2*C20</f>
        <v>11247.642606875001</v>
      </c>
      <c r="F20" s="21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10622.800000000008</v>
      </c>
      <c r="G20" s="33">
        <f t="shared" ref="G20:G21" si="25">F20/E20</f>
        <v>0.94444679398925213</v>
      </c>
      <c r="H20" s="28">
        <f>$H$2*C20</f>
        <v>14004.485810624998</v>
      </c>
      <c r="I20" s="21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3581.3399999999965</v>
      </c>
      <c r="J20" s="35">
        <f>I20/H20</f>
        <v>0.25572806088195588</v>
      </c>
      <c r="K20" s="44">
        <f t="shared" si="0"/>
        <v>14204.140000000005</v>
      </c>
      <c r="L20" s="35">
        <f t="shared" si="1"/>
        <v>0.56249278338678099</v>
      </c>
      <c r="M20" s="54">
        <f t="shared" si="2"/>
        <v>1.4062319584669527E-2</v>
      </c>
    </row>
    <row r="21" spans="1:13" x14ac:dyDescent="0.2">
      <c r="A21" s="39" t="s">
        <v>183</v>
      </c>
      <c r="B21" s="47" t="s">
        <v>17</v>
      </c>
      <c r="C21" s="50">
        <v>2.5000000000000001E-2</v>
      </c>
      <c r="D21" s="21">
        <f>$G$42*C21</f>
        <v>25252.1284175</v>
      </c>
      <c r="E21" s="28">
        <f>$E$2*C21</f>
        <v>11247.642606875001</v>
      </c>
      <c r="F21" s="21">
        <f>SUMIFS([1]PositionsHK!V:V,[1]PositionsHK!F:F,"SPY*",[1]PositionsHK!D:D,"OPT")+SUMIFS([1]PositionsHK!V:V,[1]PositionsHK!F:F,"SPY*",[1]PositionsHK!D:D,"FOP")+SUMIFS([1]PositionsHK!V:V,[1]PositionsHK!F:F,"QQQ*",[1]PositionsHK!D:D,"OPT")+SUMIFS([1]PositionsHK!V:V,[1]PositionsHK!F:F,"QQQ*",[1]PositionsHK!D:D,"FOP")</f>
        <v>6391.72</v>
      </c>
      <c r="G21" s="33">
        <f t="shared" si="25"/>
        <v>0.56827196803827407</v>
      </c>
      <c r="H21" s="28">
        <f>H2*C21</f>
        <v>14004.485810624998</v>
      </c>
      <c r="I21" s="21">
        <f>SUMIFS([1]PositionsAL!V:V,[1]PositionsAL!F:F,"SPY*",[1]PositionsAL!D:D,"OPT")+SUMIFS([1]PositionsAL!V:V,[1]PositionsAL!F:F,"SPY*",[1]PositionsAL!D:D,"FOP")+SUMIFS([1]PositionsAL!V:V,[1]PositionsAL!F:F,"QQQ*",[1]PositionsAL!D:D,"OPT")+SUMIFS([1]PositionsAL!V:V,[1]PositionsAL!F:F,"QQQ*",[1]PositionsAL!D:D,"FOP")</f>
        <v>6391.72</v>
      </c>
      <c r="J21" s="35">
        <f>I21/H21</f>
        <v>0.45640518948226549</v>
      </c>
      <c r="K21" s="44">
        <f t="shared" si="0"/>
        <v>12783.44</v>
      </c>
      <c r="L21" s="35">
        <f t="shared" si="1"/>
        <v>0.50623217927012198</v>
      </c>
      <c r="M21" s="54">
        <f t="shared" si="2"/>
        <v>1.2655804481753049E-2</v>
      </c>
    </row>
    <row r="22" spans="1:13" x14ac:dyDescent="0.2">
      <c r="A22" s="39" t="s">
        <v>140</v>
      </c>
      <c r="B22" s="47" t="s">
        <v>15</v>
      </c>
      <c r="C22" s="48">
        <v>0.05</v>
      </c>
      <c r="D22" s="19">
        <f>$G$42*C22</f>
        <v>50504.256835</v>
      </c>
      <c r="E22" s="26">
        <f>$E$2*C22</f>
        <v>22495.285213750001</v>
      </c>
      <c r="F22" s="19">
        <f>SUMIFS([1]PositionsHK!V:V,[1]PositionsHK!F:F,"GSD")</f>
        <v>11690.70875</v>
      </c>
      <c r="G22" s="33">
        <f t="shared" ref="G22:G23" si="26">F22/H22</f>
        <v>0.41739157396019605</v>
      </c>
      <c r="H22" s="26">
        <f>$H$2*C22</f>
        <v>28008.971621249995</v>
      </c>
      <c r="I22" s="19">
        <f>SUMIFS([1]PositionsAL!V:V,[1]PositionsAL!F:F,"GSD")</f>
        <v>0</v>
      </c>
      <c r="J22" s="33">
        <f t="shared" si="24"/>
        <v>0</v>
      </c>
      <c r="K22" s="42">
        <f t="shared" si="0"/>
        <v>11690.70875</v>
      </c>
      <c r="L22" s="33">
        <f t="shared" si="1"/>
        <v>0.23147967087594509</v>
      </c>
      <c r="M22" s="54">
        <f>K22/$G$42</f>
        <v>1.1573983543797255E-2</v>
      </c>
    </row>
    <row r="23" spans="1:13" x14ac:dyDescent="0.2">
      <c r="A23" s="38" t="s">
        <v>141</v>
      </c>
      <c r="B23" s="47" t="s">
        <v>17</v>
      </c>
      <c r="C23" s="48">
        <v>0.05</v>
      </c>
      <c r="D23" s="19">
        <f>$G$42*C23</f>
        <v>50504.256835</v>
      </c>
      <c r="E23" s="29">
        <f>$E$2*C23</f>
        <v>22495.285213750001</v>
      </c>
      <c r="F23" s="51" t="str">
        <f>[1]Summary!$C$2</f>
        <v>$138,115.20</v>
      </c>
      <c r="G23" s="36">
        <f t="shared" si="26"/>
        <v>4.9311057138282806</v>
      </c>
      <c r="H23" s="29">
        <f>$H$2*C23</f>
        <v>28008.971621249995</v>
      </c>
      <c r="I23" s="51" t="str">
        <f>[1]Summary!$C$3</f>
        <v>$181,807.52</v>
      </c>
      <c r="J23" s="36">
        <f t="shared" si="24"/>
        <v>6.4910458855285249</v>
      </c>
      <c r="K23" s="45">
        <f t="shared" si="0"/>
        <v>319922.71999999997</v>
      </c>
      <c r="L23" s="36">
        <f t="shared" si="1"/>
        <v>6.3345694016487348</v>
      </c>
      <c r="M23" s="54">
        <f>K23/$G$42</f>
        <v>0.31672847008243676</v>
      </c>
    </row>
    <row r="24" spans="1:13" x14ac:dyDescent="0.2">
      <c r="A24" s="6"/>
      <c r="B24" s="6"/>
      <c r="C24" s="7">
        <f>C4+C11+C19+C20+C21+C22+C23</f>
        <v>1</v>
      </c>
      <c r="D24" s="6"/>
      <c r="E24" s="6"/>
      <c r="F24" s="8"/>
      <c r="G24" s="8"/>
      <c r="H24" s="8"/>
      <c r="I24" s="8"/>
      <c r="J24" s="6"/>
      <c r="K24" s="6"/>
      <c r="L24" s="6"/>
    </row>
    <row r="25" spans="1:13" x14ac:dyDescent="0.2">
      <c r="F25" s="3"/>
      <c r="I25" s="3"/>
    </row>
    <row r="26" spans="1:13" x14ac:dyDescent="0.2">
      <c r="A26" s="10"/>
      <c r="B26" s="10"/>
    </row>
    <row r="41" spans="7:11" x14ac:dyDescent="0.2">
      <c r="G41" s="13" t="s">
        <v>126</v>
      </c>
      <c r="H41" s="12"/>
      <c r="J41" s="53" t="s">
        <v>180</v>
      </c>
      <c r="K41" s="53" t="s">
        <v>181</v>
      </c>
    </row>
    <row r="42" spans="7:11" x14ac:dyDescent="0.2">
      <c r="G42" s="17">
        <f>E2+H2</f>
        <v>1010085.1366999999</v>
      </c>
      <c r="H42" s="12"/>
      <c r="J42" t="s">
        <v>17</v>
      </c>
      <c r="K42" s="52">
        <v>365115.64</v>
      </c>
    </row>
    <row r="43" spans="7:11" x14ac:dyDescent="0.2">
      <c r="G43" s="13" t="s">
        <v>127</v>
      </c>
      <c r="H43" s="18">
        <f>G44/G42</f>
        <v>0.68327152991756324</v>
      </c>
      <c r="J43" t="s">
        <v>133</v>
      </c>
      <c r="K43" s="52">
        <v>127769.98974999999</v>
      </c>
    </row>
    <row r="44" spans="7:11" x14ac:dyDescent="0.2">
      <c r="G44" s="17">
        <f>G42-G46</f>
        <v>690162.41669999994</v>
      </c>
      <c r="H44" s="12"/>
      <c r="J44" t="s">
        <v>13</v>
      </c>
      <c r="K44" s="52">
        <v>99402.54</v>
      </c>
    </row>
    <row r="45" spans="7:11" x14ac:dyDescent="0.2">
      <c r="G45" s="13" t="s">
        <v>128</v>
      </c>
      <c r="H45" s="18">
        <f>G46/G42</f>
        <v>0.31672847008243676</v>
      </c>
      <c r="J45" t="s">
        <v>15</v>
      </c>
      <c r="K45" s="52">
        <v>70588.302949999998</v>
      </c>
    </row>
    <row r="46" spans="7:11" x14ac:dyDescent="0.2">
      <c r="G46" s="17">
        <f>F23+I23</f>
        <v>319922.71999999997</v>
      </c>
      <c r="H46" s="12"/>
      <c r="J46" t="s">
        <v>182</v>
      </c>
      <c r="K46" s="52">
        <v>18152.184000000001</v>
      </c>
    </row>
    <row r="51" spans="1:6" x14ac:dyDescent="0.2">
      <c r="A51" s="12"/>
      <c r="B51" s="12" t="s">
        <v>5</v>
      </c>
      <c r="C51" s="12" t="s">
        <v>125</v>
      </c>
      <c r="E51" s="16"/>
      <c r="F51" s="16"/>
    </row>
    <row r="52" spans="1:6" x14ac:dyDescent="0.2">
      <c r="A52" s="13" t="str">
        <f>A4</f>
        <v>Global Triads (the strategic core)</v>
      </c>
      <c r="B52" s="14">
        <f>D4</f>
        <v>303025.54100999999</v>
      </c>
      <c r="C52" s="15">
        <f>K4</f>
        <v>295003.50795</v>
      </c>
      <c r="E52" s="16"/>
      <c r="F52" s="16"/>
    </row>
    <row r="53" spans="1:6" x14ac:dyDescent="0.2">
      <c r="A53" s="13" t="str">
        <f>A11</f>
        <v>Four Horsemen (growth engine)</v>
      </c>
      <c r="B53" s="14">
        <f>D11</f>
        <v>303025.54100999999</v>
      </c>
      <c r="C53" s="15">
        <f>K11</f>
        <v>207257.3</v>
      </c>
      <c r="E53" s="16"/>
      <c r="F53" s="16"/>
    </row>
    <row r="54" spans="1:6" x14ac:dyDescent="0.2">
      <c r="A54" s="13" t="str">
        <f>A19</f>
        <v>Cash Cow (income Strategy, wheel/CSPs/CC/callOpts)</v>
      </c>
      <c r="B54" s="14">
        <f>D19</f>
        <v>252521.28417499998</v>
      </c>
      <c r="C54" s="15">
        <f>K19</f>
        <v>149223.32</v>
      </c>
      <c r="E54" s="16"/>
      <c r="F54" s="16"/>
    </row>
    <row r="55" spans="1:6" x14ac:dyDescent="0.2">
      <c r="A55" s="13" t="str">
        <f>A20</f>
        <v>The Alpha (theme stocks)</v>
      </c>
      <c r="B55" s="14">
        <f>D20</f>
        <v>25252.1284175</v>
      </c>
      <c r="C55" s="15">
        <f>K20</f>
        <v>14204.140000000005</v>
      </c>
      <c r="E55" s="16"/>
      <c r="F55" s="16"/>
    </row>
    <row r="56" spans="1:6" x14ac:dyDescent="0.2">
      <c r="A56" s="13" t="str">
        <f>A21</f>
        <v>The Omega (insurance, SPY and QQQ bear spreads)</v>
      </c>
      <c r="B56" s="14">
        <f>D21</f>
        <v>25252.1284175</v>
      </c>
      <c r="C56" s="15">
        <f>K21</f>
        <v>12783.44</v>
      </c>
      <c r="E56" s="16"/>
      <c r="F56" s="16"/>
    </row>
    <row r="57" spans="1:6" x14ac:dyDescent="0.2">
      <c r="A57" s="13" t="str">
        <f>A22</f>
        <v>The Vault (Gold)</v>
      </c>
      <c r="B57" s="14">
        <f>D22</f>
        <v>50504.256835</v>
      </c>
      <c r="C57" s="15">
        <f>K22</f>
        <v>11690.70875</v>
      </c>
      <c r="E57" s="16"/>
      <c r="F57" s="16"/>
    </row>
    <row r="58" spans="1:6" x14ac:dyDescent="0.2">
      <c r="A58" s="13" t="str">
        <f>A23</f>
        <v>The War Chest (Cash)</v>
      </c>
      <c r="B58" s="14">
        <f>D23</f>
        <v>50504.256835</v>
      </c>
      <c r="C58" s="15">
        <f>K23</f>
        <v>319922.71999999997</v>
      </c>
      <c r="E58" s="16"/>
      <c r="F58" s="16"/>
    </row>
  </sheetData>
  <conditionalFormatting sqref="G4:G23 L16:L23">
    <cfRule type="expression" dxfId="31" priority="152">
      <formula>AND(G4&gt;=80%, G4&lt;=120%)</formula>
    </cfRule>
    <cfRule type="expression" dxfId="30" priority="151">
      <formula>AND(G4&gt;=50%, G4&lt;80%)</formula>
    </cfRule>
  </conditionalFormatting>
  <conditionalFormatting sqref="J4:J10">
    <cfRule type="expression" dxfId="29" priority="85">
      <formula>AND(J4&gt;=120%)</formula>
    </cfRule>
    <cfRule type="expression" dxfId="28" priority="86">
      <formula>AND(J4&lt;50%)</formula>
    </cfRule>
    <cfRule type="expression" dxfId="27" priority="87">
      <formula>AND(J4&gt;=50%, J4&lt;80%)</formula>
    </cfRule>
    <cfRule type="expression" dxfId="26" priority="88">
      <formula>AND(J4&gt;=80%, J4&lt;=120%)</formula>
    </cfRule>
  </conditionalFormatting>
  <conditionalFormatting sqref="J8:J10">
    <cfRule type="expression" dxfId="25" priority="81">
      <formula>AND(J8&gt;=120%)</formula>
    </cfRule>
    <cfRule type="expression" dxfId="24" priority="82">
      <formula>AND(J8&lt;50%)</formula>
    </cfRule>
    <cfRule type="expression" dxfId="23" priority="83">
      <formula>AND(J8&gt;=50%, J8&lt;80%)</formula>
    </cfRule>
    <cfRule type="expression" dxfId="22" priority="84">
      <formula>AND(J8&gt;=80%, J8&lt;=120%)</formula>
    </cfRule>
  </conditionalFormatting>
  <conditionalFormatting sqref="J11:J23">
    <cfRule type="expression" dxfId="21" priority="127">
      <formula>AND(J11&gt;=50%, J11&lt;80%)</formula>
    </cfRule>
    <cfRule type="expression" dxfId="20" priority="128">
      <formula>AND(J11&gt;=80%, J11&lt;=120%)</formula>
    </cfRule>
    <cfRule type="expression" dxfId="19" priority="125">
      <formula>AND(J11&gt;=120%)</formula>
    </cfRule>
    <cfRule type="expression" dxfId="18" priority="126">
      <formula>AND(J11&lt;50%)</formula>
    </cfRule>
  </conditionalFormatting>
  <conditionalFormatting sqref="J16:J17">
    <cfRule type="expression" dxfId="17" priority="121">
      <formula>AND(J16&gt;=120%)</formula>
    </cfRule>
    <cfRule type="expression" dxfId="16" priority="122">
      <formula>AND(J16&lt;50%)</formula>
    </cfRule>
    <cfRule type="expression" dxfId="15" priority="123">
      <formula>AND(J16&gt;=50%, J16&lt;80%)</formula>
    </cfRule>
    <cfRule type="expression" dxfId="14" priority="124">
      <formula>AND(J16&gt;=80%, J16&lt;=120%)</formula>
    </cfRule>
  </conditionalFormatting>
  <conditionalFormatting sqref="L4:L9">
    <cfRule type="expression" dxfId="13" priority="61">
      <formula>AND(L4&gt;=120%)</formula>
    </cfRule>
    <cfRule type="expression" dxfId="12" priority="62">
      <formula>AND(L4&lt;50%)</formula>
    </cfRule>
    <cfRule type="expression" dxfId="11" priority="63">
      <formula>AND(L4&gt;=50%, L4&lt;80%)</formula>
    </cfRule>
    <cfRule type="expression" dxfId="10" priority="64">
      <formula>AND(L4&gt;=80%, L4&lt;=120%)</formula>
    </cfRule>
  </conditionalFormatting>
  <conditionalFormatting sqref="L8:L11">
    <cfRule type="expression" dxfId="9" priority="53">
      <formula>AND(L8&gt;=120%)</formula>
    </cfRule>
    <cfRule type="expression" dxfId="8" priority="54">
      <formula>AND(L8&lt;50%)</formula>
    </cfRule>
    <cfRule type="expression" dxfId="7" priority="55">
      <formula>AND(L8&gt;=50%, L8&lt;80%)</formula>
    </cfRule>
    <cfRule type="expression" dxfId="6" priority="56">
      <formula>AND(L8&gt;=80%, L8&lt;=120%)</formula>
    </cfRule>
  </conditionalFormatting>
  <conditionalFormatting sqref="L10:L17">
    <cfRule type="expression" dxfId="5" priority="36">
      <formula>AND(L10&gt;=80%, L10&lt;=120%)</formula>
    </cfRule>
    <cfRule type="expression" dxfId="4" priority="35">
      <formula>AND(L10&gt;=50%, L10&lt;80%)</formula>
    </cfRule>
    <cfRule type="expression" dxfId="3" priority="34">
      <formula>AND(L10&lt;50%)</formula>
    </cfRule>
    <cfRule type="expression" dxfId="2" priority="33">
      <formula>AND(L10&gt;=120%)</formula>
    </cfRule>
  </conditionalFormatting>
  <conditionalFormatting sqref="L16:L23 G4:G23">
    <cfRule type="expression" dxfId="1" priority="149">
      <formula>AND(G4&gt;=120%)</formula>
    </cfRule>
    <cfRule type="expression" dxfId="0" priority="150">
      <formula>AND(G4&lt;50%)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10</v>
      </c>
      <c r="B1" s="1" t="s">
        <v>130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</row>
    <row r="2" spans="1:7" x14ac:dyDescent="0.2">
      <c r="A2" s="1">
        <v>82846</v>
      </c>
      <c r="B2" s="1" t="s">
        <v>11</v>
      </c>
      <c r="C2" s="1" t="s">
        <v>187</v>
      </c>
      <c r="D2" s="1">
        <v>3.8E-3</v>
      </c>
      <c r="E2" s="1" t="s">
        <v>188</v>
      </c>
      <c r="F2" s="1" t="s">
        <v>149</v>
      </c>
      <c r="G2" s="1">
        <v>-6.3500000000000001E-2</v>
      </c>
    </row>
    <row r="3" spans="1:7" x14ac:dyDescent="0.2">
      <c r="A3" s="1" t="s">
        <v>12</v>
      </c>
      <c r="B3" s="1" t="s">
        <v>13</v>
      </c>
      <c r="C3" s="1" t="s">
        <v>164</v>
      </c>
      <c r="D3" s="1" t="s">
        <v>150</v>
      </c>
      <c r="E3" s="1" t="s">
        <v>189</v>
      </c>
      <c r="F3" s="1" t="s">
        <v>150</v>
      </c>
      <c r="G3" s="1" t="s">
        <v>151</v>
      </c>
    </row>
    <row r="4" spans="1:7" x14ac:dyDescent="0.2">
      <c r="A4" s="1" t="s">
        <v>14</v>
      </c>
      <c r="B4" s="1" t="s">
        <v>15</v>
      </c>
      <c r="C4" s="1" t="s">
        <v>186</v>
      </c>
      <c r="D4" s="1" t="s">
        <v>152</v>
      </c>
      <c r="E4" s="1" t="s">
        <v>190</v>
      </c>
      <c r="F4" s="1" t="s">
        <v>153</v>
      </c>
      <c r="G4" s="1" t="s">
        <v>154</v>
      </c>
    </row>
    <row r="5" spans="1:7" x14ac:dyDescent="0.2">
      <c r="A5" s="1" t="s">
        <v>16</v>
      </c>
      <c r="B5" s="1" t="s">
        <v>17</v>
      </c>
      <c r="C5" s="1" t="s">
        <v>191</v>
      </c>
      <c r="D5" s="1" t="s">
        <v>155</v>
      </c>
      <c r="E5" s="1" t="s">
        <v>192</v>
      </c>
      <c r="F5" s="1" t="s">
        <v>156</v>
      </c>
      <c r="G5" s="1" t="s">
        <v>157</v>
      </c>
    </row>
    <row r="6" spans="1:7" x14ac:dyDescent="0.2">
      <c r="A6" s="1" t="s">
        <v>142</v>
      </c>
      <c r="B6" s="1" t="s">
        <v>133</v>
      </c>
      <c r="C6" s="1" t="s">
        <v>193</v>
      </c>
      <c r="D6" s="1" t="s">
        <v>158</v>
      </c>
      <c r="E6" s="1" t="s">
        <v>196</v>
      </c>
      <c r="F6" s="1" t="s">
        <v>159</v>
      </c>
      <c r="G6" s="1" t="s">
        <v>160</v>
      </c>
    </row>
    <row r="7" spans="1:7" x14ac:dyDescent="0.2">
      <c r="A7" s="1" t="s">
        <v>143</v>
      </c>
      <c r="B7" s="1" t="s">
        <v>133</v>
      </c>
      <c r="C7" s="1" t="s">
        <v>194</v>
      </c>
      <c r="D7" s="1" t="s">
        <v>161</v>
      </c>
      <c r="E7" s="1" t="s">
        <v>195</v>
      </c>
      <c r="F7" s="1" t="s">
        <v>162</v>
      </c>
      <c r="G7" s="1" t="s">
        <v>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42" sqref="C4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10</v>
      </c>
      <c r="B1" s="1" t="s">
        <v>18</v>
      </c>
      <c r="C1" s="1" t="s">
        <v>171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s="1" t="s">
        <v>23</v>
      </c>
      <c r="B2" s="1" t="s">
        <v>17</v>
      </c>
      <c r="C2" s="1" t="s">
        <v>169</v>
      </c>
      <c r="D2" s="1" t="s">
        <v>176</v>
      </c>
      <c r="E2" s="2"/>
      <c r="F2" s="2"/>
    </row>
    <row r="3" spans="1:7" x14ac:dyDescent="0.2">
      <c r="A3" s="1" t="s">
        <v>165</v>
      </c>
      <c r="B3" s="1" t="s">
        <v>133</v>
      </c>
      <c r="C3" s="1" t="s">
        <v>169</v>
      </c>
      <c r="D3" s="1" t="s">
        <v>175</v>
      </c>
      <c r="E3" s="2"/>
      <c r="F3" s="2"/>
    </row>
    <row r="4" spans="1:7" x14ac:dyDescent="0.2">
      <c r="A4" s="1" t="s">
        <v>166</v>
      </c>
      <c r="B4" s="1" t="s">
        <v>13</v>
      </c>
      <c r="C4" s="1" t="s">
        <v>168</v>
      </c>
      <c r="D4" s="1" t="s">
        <v>174</v>
      </c>
      <c r="E4" s="2"/>
      <c r="F4" s="2"/>
    </row>
    <row r="5" spans="1:7" x14ac:dyDescent="0.2">
      <c r="A5" s="1" t="s">
        <v>24</v>
      </c>
      <c r="B5" s="1" t="s">
        <v>17</v>
      </c>
      <c r="C5" s="1" t="s">
        <v>172</v>
      </c>
      <c r="D5" s="1" t="s">
        <v>173</v>
      </c>
      <c r="E5" s="2"/>
      <c r="F5" s="2"/>
    </row>
    <row r="6" spans="1:7" x14ac:dyDescent="0.2">
      <c r="A6" s="1" t="s">
        <v>25</v>
      </c>
      <c r="B6" s="1" t="s">
        <v>17</v>
      </c>
      <c r="C6" s="1" t="s">
        <v>170</v>
      </c>
      <c r="D6" s="1" t="s">
        <v>177</v>
      </c>
      <c r="E6" s="2"/>
      <c r="F6" s="2"/>
    </row>
    <row r="7" spans="1:7" x14ac:dyDescent="0.2">
      <c r="A7" s="1" t="s">
        <v>167</v>
      </c>
      <c r="B7" s="1" t="s">
        <v>17</v>
      </c>
      <c r="C7" s="1" t="s">
        <v>168</v>
      </c>
      <c r="D7" s="1" t="s">
        <v>178</v>
      </c>
      <c r="E7" s="2"/>
      <c r="F7" s="2"/>
    </row>
    <row r="8" spans="1:7" x14ac:dyDescent="0.2">
      <c r="A8" s="1" t="s">
        <v>26</v>
      </c>
      <c r="B8" s="1" t="s">
        <v>17</v>
      </c>
      <c r="C8" s="1" t="s">
        <v>172</v>
      </c>
      <c r="D8" s="1" t="s">
        <v>179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C28" sqref="C28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x14ac:dyDescent="0.2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</row>
    <row r="3" spans="1:5" x14ac:dyDescent="0.2">
      <c r="A3" s="4" t="s">
        <v>35</v>
      </c>
      <c r="B3" s="4" t="s">
        <v>36</v>
      </c>
      <c r="C3" s="4" t="s">
        <v>37</v>
      </c>
      <c r="D3" s="4" t="s">
        <v>38</v>
      </c>
      <c r="E3" s="4" t="s">
        <v>39</v>
      </c>
    </row>
    <row r="4" spans="1:5" x14ac:dyDescent="0.2">
      <c r="A4" s="4" t="s">
        <v>40</v>
      </c>
      <c r="B4" s="4" t="s">
        <v>36</v>
      </c>
      <c r="C4" s="4" t="s">
        <v>37</v>
      </c>
      <c r="D4" s="4" t="s">
        <v>41</v>
      </c>
      <c r="E4" s="4" t="s">
        <v>42</v>
      </c>
    </row>
    <row r="5" spans="1:5" x14ac:dyDescent="0.2">
      <c r="A5" s="4" t="s">
        <v>44</v>
      </c>
      <c r="B5" s="4" t="s">
        <v>36</v>
      </c>
      <c r="C5" s="4" t="s">
        <v>43</v>
      </c>
      <c r="D5" s="4" t="s">
        <v>45</v>
      </c>
      <c r="E5" s="4" t="s">
        <v>46</v>
      </c>
    </row>
    <row r="6" spans="1:5" x14ac:dyDescent="0.2">
      <c r="A6" s="4" t="s">
        <v>47</v>
      </c>
      <c r="B6" s="4" t="s">
        <v>36</v>
      </c>
      <c r="C6" s="4" t="s">
        <v>48</v>
      </c>
      <c r="D6" s="4" t="s">
        <v>49</v>
      </c>
      <c r="E6" s="4" t="s">
        <v>50</v>
      </c>
    </row>
    <row r="7" spans="1:5" x14ac:dyDescent="0.2">
      <c r="A7" s="4" t="s">
        <v>51</v>
      </c>
      <c r="B7" s="4" t="s">
        <v>36</v>
      </c>
      <c r="C7" s="4" t="s">
        <v>37</v>
      </c>
      <c r="D7" s="4" t="s">
        <v>52</v>
      </c>
      <c r="E7" s="4" t="s">
        <v>53</v>
      </c>
    </row>
    <row r="8" spans="1:5" x14ac:dyDescent="0.2">
      <c r="A8" s="4" t="s">
        <v>54</v>
      </c>
      <c r="B8" s="4" t="s">
        <v>55</v>
      </c>
      <c r="C8" s="5" t="s">
        <v>56</v>
      </c>
      <c r="D8" s="5" t="s">
        <v>57</v>
      </c>
      <c r="E8" s="5" t="s">
        <v>58</v>
      </c>
    </row>
    <row r="9" spans="1:5" x14ac:dyDescent="0.2">
      <c r="A9" s="4" t="s">
        <v>59</v>
      </c>
      <c r="B9" s="4" t="s">
        <v>55</v>
      </c>
      <c r="C9" s="5" t="s">
        <v>60</v>
      </c>
      <c r="D9" s="5" t="s">
        <v>61</v>
      </c>
      <c r="E9" s="5" t="s">
        <v>62</v>
      </c>
    </row>
    <row r="10" spans="1:5" x14ac:dyDescent="0.2">
      <c r="A10" s="4" t="s">
        <v>63</v>
      </c>
      <c r="B10" s="4" t="s">
        <v>55</v>
      </c>
      <c r="C10" s="5" t="s">
        <v>43</v>
      </c>
      <c r="D10" s="5" t="s">
        <v>64</v>
      </c>
      <c r="E10" s="5" t="s">
        <v>65</v>
      </c>
    </row>
    <row r="11" spans="1:5" x14ac:dyDescent="0.2">
      <c r="A11" s="4" t="s">
        <v>66</v>
      </c>
      <c r="B11" s="4" t="s">
        <v>67</v>
      </c>
      <c r="C11" s="4" t="s">
        <v>43</v>
      </c>
      <c r="D11" s="4" t="s">
        <v>68</v>
      </c>
      <c r="E11" s="4" t="s">
        <v>69</v>
      </c>
    </row>
    <row r="12" spans="1:5" x14ac:dyDescent="0.2">
      <c r="A12" s="4" t="s">
        <v>70</v>
      </c>
      <c r="B12" s="4" t="s">
        <v>71</v>
      </c>
      <c r="C12" s="4" t="s">
        <v>43</v>
      </c>
      <c r="D12" s="4" t="s">
        <v>72</v>
      </c>
      <c r="E12" s="4" t="s">
        <v>73</v>
      </c>
    </row>
    <row r="13" spans="1:5" x14ac:dyDescent="0.2">
      <c r="A13" s="4" t="s">
        <v>74</v>
      </c>
      <c r="B13" s="4" t="s">
        <v>71</v>
      </c>
      <c r="C13" s="4" t="s">
        <v>37</v>
      </c>
      <c r="D13" s="4" t="s">
        <v>75</v>
      </c>
      <c r="E13" s="4" t="s">
        <v>76</v>
      </c>
    </row>
    <row r="14" spans="1:5" x14ac:dyDescent="0.2">
      <c r="A14" s="4" t="s">
        <v>77</v>
      </c>
      <c r="B14" s="4" t="s">
        <v>78</v>
      </c>
      <c r="C14" s="4" t="s">
        <v>37</v>
      </c>
      <c r="D14" s="4" t="s">
        <v>79</v>
      </c>
      <c r="E14" s="4" t="s">
        <v>80</v>
      </c>
    </row>
    <row r="15" spans="1:5" x14ac:dyDescent="0.2">
      <c r="A15" s="4" t="s">
        <v>81</v>
      </c>
      <c r="B15" s="4" t="s">
        <v>78</v>
      </c>
      <c r="C15" s="4" t="s">
        <v>43</v>
      </c>
      <c r="D15" s="4" t="s">
        <v>82</v>
      </c>
      <c r="E15" s="4" t="s">
        <v>83</v>
      </c>
    </row>
    <row r="16" spans="1:5" x14ac:dyDescent="0.2">
      <c r="A16" s="4" t="s">
        <v>84</v>
      </c>
      <c r="B16" s="4" t="s">
        <v>85</v>
      </c>
      <c r="C16" s="4" t="s">
        <v>86</v>
      </c>
      <c r="D16" s="4" t="s">
        <v>87</v>
      </c>
      <c r="E16" s="4" t="s">
        <v>88</v>
      </c>
    </row>
    <row r="17" spans="1:5" x14ac:dyDescent="0.2">
      <c r="A17" s="4" t="s">
        <v>89</v>
      </c>
      <c r="B17" s="4" t="s">
        <v>85</v>
      </c>
      <c r="C17" s="4" t="s">
        <v>37</v>
      </c>
      <c r="D17" s="4" t="s">
        <v>90</v>
      </c>
      <c r="E17" s="4" t="s">
        <v>91</v>
      </c>
    </row>
    <row r="18" spans="1:5" x14ac:dyDescent="0.2">
      <c r="A18" s="4" t="s">
        <v>92</v>
      </c>
      <c r="B18" s="4" t="s">
        <v>85</v>
      </c>
      <c r="C18" s="4" t="s">
        <v>93</v>
      </c>
      <c r="D18" s="4" t="s">
        <v>94</v>
      </c>
      <c r="E18" s="4" t="s">
        <v>95</v>
      </c>
    </row>
    <row r="19" spans="1:5" x14ac:dyDescent="0.2">
      <c r="A19" s="4" t="s">
        <v>96</v>
      </c>
      <c r="B19" s="4" t="s">
        <v>85</v>
      </c>
      <c r="C19" s="4" t="s">
        <v>97</v>
      </c>
      <c r="D19" s="4" t="s">
        <v>98</v>
      </c>
      <c r="E19" s="4" t="s">
        <v>99</v>
      </c>
    </row>
    <row r="20" spans="1:5" x14ac:dyDescent="0.2">
      <c r="A20" s="4" t="s">
        <v>100</v>
      </c>
      <c r="B20" s="4" t="s">
        <v>85</v>
      </c>
      <c r="C20" s="4" t="s">
        <v>43</v>
      </c>
      <c r="D20" s="4" t="s">
        <v>101</v>
      </c>
      <c r="E20" s="4" t="s">
        <v>102</v>
      </c>
    </row>
    <row r="21" spans="1:5" x14ac:dyDescent="0.2">
      <c r="A21" s="4" t="s">
        <v>103</v>
      </c>
      <c r="B21" s="4" t="s">
        <v>85</v>
      </c>
      <c r="C21" s="4" t="s">
        <v>104</v>
      </c>
      <c r="D21" s="4" t="s">
        <v>105</v>
      </c>
      <c r="E21" s="4" t="s">
        <v>106</v>
      </c>
    </row>
    <row r="22" spans="1:5" x14ac:dyDescent="0.2">
      <c r="A22" s="4" t="s">
        <v>107</v>
      </c>
      <c r="B22" s="4" t="s">
        <v>85</v>
      </c>
      <c r="C22" s="4" t="s">
        <v>108</v>
      </c>
      <c r="D22" s="4" t="s">
        <v>109</v>
      </c>
      <c r="E22" s="4" t="s">
        <v>110</v>
      </c>
    </row>
    <row r="23" spans="1:5" x14ac:dyDescent="0.2">
      <c r="A23" s="4" t="s">
        <v>111</v>
      </c>
      <c r="B23" s="4" t="s">
        <v>112</v>
      </c>
      <c r="C23" s="4" t="s">
        <v>104</v>
      </c>
      <c r="D23" s="4" t="s">
        <v>113</v>
      </c>
      <c r="E23" s="4" t="s">
        <v>114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s="1" customFormat="1" ht="16" customHeight="1" x14ac:dyDescent="0.2">
      <c r="A2" s="4" t="s">
        <v>115</v>
      </c>
      <c r="B2" s="4" t="s">
        <v>116</v>
      </c>
      <c r="C2" s="4" t="s">
        <v>117</v>
      </c>
      <c r="D2" s="4" t="s">
        <v>118</v>
      </c>
      <c r="E2" s="4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2026-02-01T17:53:39Z</dcterms:modified>
</cp:coreProperties>
</file>