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hongkiatkoh/Developer/timeless-workspace/projects/"/>
    </mc:Choice>
  </mc:AlternateContent>
  <xr:revisionPtr revIDLastSave="0" documentId="13_ncr:1_{AEAD97AC-57A8-644F-8DA1-B3ADB665D962}" xr6:coauthVersionLast="47" xr6:coauthVersionMax="47" xr10:uidLastSave="{00000000-0000-0000-0000-000000000000}"/>
  <bookViews>
    <workbookView xWindow="3300" yWindow="1720" windowWidth="32620" windowHeight="25120" xr2:uid="{00000000-000D-0000-FFFF-FFFF00000000}"/>
  </bookViews>
  <sheets>
    <sheet name="Dashboard" sheetId="1" r:id="rId1"/>
    <sheet name="GlobalETF" sheetId="2" r:id="rId2"/>
    <sheet name="GrowthEngine" sheetId="3" r:id="rId3"/>
    <sheet name="IncomeStrategy" sheetId="4" r:id="rId4"/>
    <sheet name="Gold" sheetId="5" r:id="rId5"/>
    <sheet name="Todo" sheetId="7" r:id="rId6"/>
  </sheets>
  <externalReferences>
    <externalReference r:id="rId7"/>
  </externalReferences>
  <definedNames>
    <definedName name="_xlnm._FilterDatabase" localSheetId="3" hidden="1">IncomeStrategy!$A$1:$E$1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" i="1" l="1"/>
  <c r="F16" i="1"/>
  <c r="F14" i="1"/>
  <c r="I14" i="1"/>
  <c r="C24" i="1"/>
  <c r="K14" i="1" l="1"/>
  <c r="I17" i="1"/>
  <c r="I13" i="1"/>
  <c r="I10" i="1"/>
  <c r="I9" i="1"/>
  <c r="F17" i="1"/>
  <c r="F13" i="1"/>
  <c r="F10" i="1"/>
  <c r="F9" i="1"/>
  <c r="I23" i="1"/>
  <c r="F23" i="1"/>
  <c r="F4" i="1" a="1"/>
  <c r="F4" i="1" s="1"/>
  <c r="I22" i="1"/>
  <c r="F22" i="1"/>
  <c r="I21" i="1"/>
  <c r="F21" i="1"/>
  <c r="I20" i="1" a="1"/>
  <c r="I20" i="1" s="1"/>
  <c r="F20" i="1" a="1"/>
  <c r="F20" i="1" s="1"/>
  <c r="I19" i="1" a="1"/>
  <c r="I19" i="1" s="1"/>
  <c r="F19" i="1" a="1"/>
  <c r="F19" i="1" s="1"/>
  <c r="I18" i="1"/>
  <c r="F18" i="1"/>
  <c r="I15" i="1"/>
  <c r="F15" i="1"/>
  <c r="I12" i="1"/>
  <c r="F12" i="1"/>
  <c r="I8" i="1"/>
  <c r="F8" i="1"/>
  <c r="I7" i="1"/>
  <c r="F7" i="1"/>
  <c r="I6" i="1"/>
  <c r="F6" i="1"/>
  <c r="I5" i="1"/>
  <c r="F5" i="1"/>
  <c r="I4" i="1" a="1"/>
  <c r="I4" i="1" s="1"/>
  <c r="A58" i="1"/>
  <c r="A57" i="1"/>
  <c r="A56" i="1"/>
  <c r="A55" i="1"/>
  <c r="A54" i="1"/>
  <c r="A53" i="1"/>
  <c r="A52" i="1"/>
  <c r="K17" i="1" l="1"/>
  <c r="K9" i="1"/>
  <c r="G46" i="1"/>
  <c r="K23" i="1"/>
  <c r="C58" i="1" s="1"/>
  <c r="I11" i="1"/>
  <c r="H2" i="1" s="1"/>
  <c r="F11" i="1"/>
  <c r="K10" i="1"/>
  <c r="K8" i="1"/>
  <c r="K7" i="1"/>
  <c r="K5" i="1"/>
  <c r="K6" i="1"/>
  <c r="K20" i="1"/>
  <c r="C55" i="1" s="1"/>
  <c r="K21" i="1"/>
  <c r="C56" i="1" s="1"/>
  <c r="K22" i="1"/>
  <c r="C57" i="1" s="1"/>
  <c r="K12" i="1"/>
  <c r="K13" i="1"/>
  <c r="K15" i="1"/>
  <c r="K18" i="1"/>
  <c r="K16" i="1"/>
  <c r="K19" i="1"/>
  <c r="C54" i="1" s="1"/>
  <c r="K4" i="1"/>
  <c r="C52" i="1" s="1"/>
  <c r="H21" i="1" l="1"/>
  <c r="H20" i="1"/>
  <c r="H19" i="1"/>
  <c r="J19" i="1" s="1"/>
  <c r="H23" i="1"/>
  <c r="H22" i="1"/>
  <c r="H11" i="1"/>
  <c r="H4" i="1"/>
  <c r="H9" i="1" s="1"/>
  <c r="J9" i="1" s="1"/>
  <c r="E2" i="1"/>
  <c r="K11" i="1"/>
  <c r="C53" i="1" s="1"/>
  <c r="E20" i="1" l="1"/>
  <c r="G20" i="1" s="1"/>
  <c r="E21" i="1"/>
  <c r="G21" i="1" s="1"/>
  <c r="H17" i="1"/>
  <c r="J17" i="1" s="1"/>
  <c r="H14" i="1"/>
  <c r="J14" i="1" s="1"/>
  <c r="H16" i="1"/>
  <c r="J16" i="1" s="1"/>
  <c r="H12" i="1"/>
  <c r="J12" i="1" s="1"/>
  <c r="H18" i="1"/>
  <c r="J18" i="1" s="1"/>
  <c r="H15" i="1"/>
  <c r="J15" i="1" s="1"/>
  <c r="H13" i="1"/>
  <c r="J13" i="1" s="1"/>
  <c r="G22" i="1"/>
  <c r="J22" i="1"/>
  <c r="J11" i="1"/>
  <c r="G23" i="1"/>
  <c r="J23" i="1"/>
  <c r="E23" i="1"/>
  <c r="G42" i="1"/>
  <c r="E22" i="1"/>
  <c r="E11" i="1"/>
  <c r="E19" i="1"/>
  <c r="G19" i="1" s="1"/>
  <c r="E4" i="1"/>
  <c r="E9" i="1" s="1"/>
  <c r="G9" i="1" s="1"/>
  <c r="H7" i="1"/>
  <c r="J7" i="1" s="1"/>
  <c r="H6" i="1"/>
  <c r="J6" i="1" s="1"/>
  <c r="H10" i="1"/>
  <c r="J10" i="1" s="1"/>
  <c r="J4" i="1"/>
  <c r="H5" i="1"/>
  <c r="J5" i="1" s="1"/>
  <c r="H8" i="1"/>
  <c r="J8" i="1" s="1"/>
  <c r="D20" i="1" l="1"/>
  <c r="D21" i="1"/>
  <c r="E17" i="1"/>
  <c r="G17" i="1" s="1"/>
  <c r="E14" i="1"/>
  <c r="G14" i="1" s="1"/>
  <c r="E12" i="1"/>
  <c r="G12" i="1" s="1"/>
  <c r="E15" i="1"/>
  <c r="G15" i="1" s="1"/>
  <c r="E16" i="1"/>
  <c r="G16" i="1" s="1"/>
  <c r="E18" i="1"/>
  <c r="G18" i="1" s="1"/>
  <c r="E13" i="1"/>
  <c r="G13" i="1" s="1"/>
  <c r="G11" i="1"/>
  <c r="J20" i="1"/>
  <c r="G44" i="1"/>
  <c r="H43" i="1" s="1"/>
  <c r="H45" i="1"/>
  <c r="D23" i="1"/>
  <c r="D11" i="1"/>
  <c r="D22" i="1"/>
  <c r="D4" i="1"/>
  <c r="D9" i="1" s="1"/>
  <c r="L9" i="1" s="1"/>
  <c r="D19" i="1"/>
  <c r="E10" i="1"/>
  <c r="G10" i="1" s="1"/>
  <c r="E8" i="1"/>
  <c r="G8" i="1" s="1"/>
  <c r="E5" i="1"/>
  <c r="G5" i="1" s="1"/>
  <c r="E7" i="1"/>
  <c r="G7" i="1" s="1"/>
  <c r="E6" i="1"/>
  <c r="G6" i="1" s="1"/>
  <c r="G4" i="1"/>
  <c r="J21" i="1"/>
  <c r="D17" i="1" l="1"/>
  <c r="L17" i="1" s="1"/>
  <c r="D14" i="1"/>
  <c r="L14" i="1" s="1"/>
  <c r="B53" i="1"/>
  <c r="D12" i="1"/>
  <c r="L12" i="1" s="1"/>
  <c r="D18" i="1"/>
  <c r="L18" i="1" s="1"/>
  <c r="D13" i="1"/>
  <c r="L13" i="1" s="1"/>
  <c r="D16" i="1"/>
  <c r="L16" i="1" s="1"/>
  <c r="D15" i="1"/>
  <c r="L15" i="1" s="1"/>
  <c r="L11" i="1"/>
  <c r="B58" i="1"/>
  <c r="L23" i="1"/>
  <c r="B54" i="1"/>
  <c r="L19" i="1"/>
  <c r="B52" i="1"/>
  <c r="D7" i="1"/>
  <c r="L7" i="1" s="1"/>
  <c r="D8" i="1"/>
  <c r="L8" i="1" s="1"/>
  <c r="D6" i="1"/>
  <c r="L6" i="1" s="1"/>
  <c r="D5" i="1"/>
  <c r="L5" i="1" s="1"/>
  <c r="D10" i="1"/>
  <c r="L10" i="1" s="1"/>
  <c r="L4" i="1"/>
  <c r="B57" i="1"/>
  <c r="L22" i="1"/>
  <c r="B56" i="1" l="1"/>
  <c r="L21" i="1"/>
  <c r="L20" i="1"/>
  <c r="B5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Hong Kiat Koh</author>
  </authors>
  <commentList>
    <comment ref="F4" authorId="0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Hong Kiat Koh:
</t>
        </r>
        <r>
          <rPr>
            <sz val="11"/>
            <color rgb="FF000000"/>
            <rFont val="Calibri"/>
            <family val="2"/>
          </rPr>
          <t xml:space="preserve">Reads all tickers from the GlobalETF sheet column A
</t>
        </r>
        <r>
          <rPr>
            <sz val="11"/>
            <color rgb="FF000000"/>
            <rFont val="Calibri"/>
            <family val="2"/>
          </rPr>
          <t xml:space="preserve">Looks for matching symbols in PositionsHK column F
</t>
        </r>
        <r>
          <rPr>
            <sz val="11"/>
            <color rgb="FF000000"/>
            <rFont val="Calibri"/>
            <family val="2"/>
          </rPr>
          <t>Sums the corresponding PositionValue from column O</t>
        </r>
      </text>
    </comment>
    <comment ref="F20" authorId="0" shapeId="0" xr:uid="{00000000-0006-0000-0000-000003000000}">
      <text>
        <r>
          <rPr>
            <sz val="11"/>
            <color rgb="FF000000"/>
            <rFont val="Calibri"/>
            <family val="2"/>
          </rPr>
          <t xml:space="preserve">Hong Kiat Koh:
</t>
        </r>
        <r>
          <rPr>
            <sz val="11"/>
            <color rgb="FF000000"/>
            <rFont val="Calibri"/>
            <family val="2"/>
          </rPr>
          <t xml:space="preserve">This formula: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Sums all PositionValue (column O) where AssetClass (column D) = "STK"
</t>
        </r>
        <r>
          <rPr>
            <sz val="11"/>
            <color rgb="FF000000"/>
            <rFont val="Calibri"/>
            <family val="2"/>
          </rPr>
          <t xml:space="preserve">Subtracts positions matching tickers in GrowthEngine column A
</t>
        </r>
        <r>
          <rPr>
            <sz val="11"/>
            <color rgb="FF000000"/>
            <rFont val="Calibri"/>
            <family val="2"/>
          </rPr>
          <t xml:space="preserve">Subtracts positions matching tickers in IncomeStrategy column A
</t>
        </r>
        <r>
          <rPr>
            <sz val="11"/>
            <color rgb="FF000000"/>
            <rFont val="Calibri"/>
            <family val="2"/>
          </rPr>
          <t>Result: Total value of STK positions excluding those in your GrowthEngine and IncomeStrategy lists.</t>
        </r>
      </text>
    </comment>
    <comment ref="F21" authorId="0" shapeId="0" xr:uid="{00000000-0006-0000-0000-000004000000}">
      <text>
        <r>
          <rPr>
            <sz val="11"/>
            <color rgb="FF000000"/>
            <rFont val="Calibri"/>
            <family val="2"/>
          </rPr>
          <t xml:space="preserve">Hong Kiat Koh:
</t>
        </r>
        <r>
          <rPr>
            <sz val="11"/>
            <color rgb="FF000000"/>
            <rFont val="Calibri"/>
            <family val="2"/>
          </rPr>
          <t xml:space="preserve">This formula: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Sums PositionValue (column O) where AssetClass (column D) = "OPT" AND PositionValue &gt; 0
</t>
        </r>
        <r>
          <rPr>
            <sz val="11"/>
            <color rgb="FF000000"/>
            <rFont val="Calibri"/>
            <family val="2"/>
          </rPr>
          <t>Adds sums of PositionValue where AssetClass = "FOP" AND PositionValue &gt; 0</t>
        </r>
      </text>
    </comment>
    <comment ref="F22" authorId="0" shapeId="0" xr:uid="{00000000-0006-0000-0000-000005000000}">
      <text>
        <r>
          <rPr>
            <sz val="11"/>
            <color rgb="FF000000"/>
            <rFont val="Calibri"/>
            <family val="2"/>
          </rPr>
          <t xml:space="preserve">Hong Kiat Koh:
</t>
        </r>
        <r>
          <rPr>
            <sz val="11"/>
            <color rgb="FF000000"/>
            <rFont val="Calibri"/>
            <family val="2"/>
          </rPr>
          <t>This sums PositionValue (column O) where SubCategory (column E) is "ETF" AND Symbol (column F) is either "BITO" or "GSD".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<sst xmlns="http://schemas.openxmlformats.org/spreadsheetml/2006/main" count="269" uniqueCount="199">
  <si>
    <t>HK</t>
  </si>
  <si>
    <t>AL</t>
  </si>
  <si>
    <t>TOTAL</t>
  </si>
  <si>
    <t>Category</t>
  </si>
  <si>
    <t>Percent</t>
  </si>
  <si>
    <t>Target</t>
  </si>
  <si>
    <t>Actual Total</t>
  </si>
  <si>
    <t>Actual %</t>
  </si>
  <si>
    <t>Remarks</t>
  </si>
  <si>
    <t>Security (LOCK)</t>
  </si>
  <si>
    <t>Energy (INRA)</t>
  </si>
  <si>
    <t>Ticker</t>
  </si>
  <si>
    <t>CNY</t>
  </si>
  <si>
    <t>DHL</t>
  </si>
  <si>
    <t>EUR</t>
  </si>
  <si>
    <t>ES3</t>
  </si>
  <si>
    <t>SGD</t>
  </si>
  <si>
    <t>VWRA</t>
  </si>
  <si>
    <t>USD</t>
  </si>
  <si>
    <t>Primary Exchange</t>
  </si>
  <si>
    <t>AUM (USD)</t>
  </si>
  <si>
    <t>Exp. Ratio</t>
  </si>
  <si>
    <t>2025 Return</t>
  </si>
  <si>
    <t>Strategy Profile</t>
  </si>
  <si>
    <t>CSNDX</t>
  </si>
  <si>
    <t>HEAL</t>
  </si>
  <si>
    <t>INRA</t>
  </si>
  <si>
    <t>LOCK</t>
  </si>
  <si>
    <t>Best For</t>
  </si>
  <si>
    <t>2026 Profile</t>
  </si>
  <si>
    <t>Why It Works?</t>
  </si>
  <si>
    <t>SPY</t>
  </si>
  <si>
    <t>Broad Market</t>
  </si>
  <si>
    <t>All Strategies</t>
  </si>
  <si>
    <t>Tracks S&amp;P 500; ultra-liquid.</t>
  </si>
  <si>
    <t>Zero single-stock risk. Best for daily (0DTE) income and high-probability CSPs.</t>
  </si>
  <si>
    <t>ADBE</t>
  </si>
  <si>
    <t>Broad Tech</t>
  </si>
  <si>
    <t>Strangles</t>
  </si>
  <si>
    <t>High-margin AI creative tools.</t>
  </si>
  <si>
    <t>High share price; "smooth" price action with low spread slippage.</t>
  </si>
  <si>
    <t>AMD</t>
  </si>
  <si>
    <t>High retail volume; volatile.</t>
  </si>
  <si>
    <t>More affordable alternative to NVDA with high premium yield.</t>
  </si>
  <si>
    <t>CSP / Wheel</t>
  </si>
  <si>
    <t>CRM</t>
  </si>
  <si>
    <t>Subscription-based cash flow.</t>
  </si>
  <si>
    <t>Low downside risk due to recurring revenue stability.</t>
  </si>
  <si>
    <t>CSCO</t>
  </si>
  <si>
    <t>CSP / CC</t>
  </si>
  <si>
    <t>Defensive; bond-like value.</t>
  </si>
  <si>
    <t>Best for conservative traders looking for very high win rates.</t>
  </si>
  <si>
    <t>ORCL</t>
  </si>
  <si>
    <t>Massive cloud backlog.</t>
  </si>
  <si>
    <t>Higher volatility than MSFT, offering better Strangle returns.</t>
  </si>
  <si>
    <t>COST</t>
  </si>
  <si>
    <t>Consumer Staples</t>
  </si>
  <si>
    <t>CSP / Iron Condors</t>
  </si>
  <si>
    <t>Strong 8.2% net sales growth; high membership renewal rates; 20%+ digital sales growth in early FY2026.</t>
  </si>
  <si>
    <t>Differentiated membership model creates recurring revenue; bulk-buying value proposition is highly attractive to cost-conscious consumers during a recession.</t>
  </si>
  <si>
    <t>PEP</t>
  </si>
  <si>
    <t>CSP / Dividend Growth</t>
  </si>
  <si>
    <t>Targeting 4-6% revenue growth; record productivity savings from automation; 53+ years of consecutive dividend increases.</t>
  </si>
  <si>
    <t>High nearly 4% yield provides a price floor; inelastic demand for snacks/beverages offers stable cash flow even in downturns.</t>
  </si>
  <si>
    <t>WMT</t>
  </si>
  <si>
    <t>Global omnichannel leader with 27%+ e-commerce growth; expanding high-margin ad and membership streams.</t>
  </si>
  <si>
    <t>Defensive giant that gains market share during recessions as consumers "trade down" to its everyday low prices.</t>
  </si>
  <si>
    <t>XOM</t>
  </si>
  <si>
    <t>Energy</t>
  </si>
  <si>
    <t>Massive buybacks &amp; FCF.</t>
  </si>
  <si>
    <t>Corporate buybacks create a "synthetic floor" for put sellers.</t>
  </si>
  <si>
    <t>JPM</t>
  </si>
  <si>
    <t>Financials</t>
  </si>
  <si>
    <t>Fortress balance sheet; 15% ROE.</t>
  </si>
  <si>
    <t>The gold standard for the "Wheel" strategy in financials.</t>
  </si>
  <si>
    <t>V</t>
  </si>
  <si>
    <t>50%+ net profit margins.</t>
  </si>
  <si>
    <t>"Toll booth" business model provides exceptional price stability.</t>
  </si>
  <si>
    <t>LLY</t>
  </si>
  <si>
    <t>Healthcare</t>
  </si>
  <si>
    <t>GLP-1 (weight loss) drug leader.</t>
  </si>
  <si>
    <t>Growth-stock premiums in a historically stable sector.</t>
  </si>
  <si>
    <t>UNH</t>
  </si>
  <si>
    <t>High share price; steady FCF.</t>
  </si>
  <si>
    <t>High dollar-value premiums per contract; very liquid.</t>
  </si>
  <si>
    <t>AAPL</t>
  </si>
  <si>
    <t>Mag 7 / IT</t>
  </si>
  <si>
    <t>Covered Calls</t>
  </si>
  <si>
    <t>$4T market cap; Services growth.</t>
  </si>
  <si>
    <t>Tightest spreads in the market; perfect for low-risk "rent" collection.</t>
  </si>
  <si>
    <t>AMZN</t>
  </si>
  <si>
    <t>AWS/Ads driving 60% of profits.</t>
  </si>
  <si>
    <t>High range-bound predictability; resists sector-wide selloffs.</t>
  </si>
  <si>
    <t>GOOGL</t>
  </si>
  <si>
    <t>Iron Condors</t>
  </si>
  <si>
    <t>Cloud profit engine; range-bound.</t>
  </si>
  <si>
    <t>Predictable behavior between technical support/resistance levels.</t>
  </si>
  <si>
    <t>META</t>
  </si>
  <si>
    <t>Credit Spreads</t>
  </si>
  <si>
    <t>Robust buybacks; high net margins.</t>
  </si>
  <si>
    <t>Strong price momentum; high premium relative to its price.</t>
  </si>
  <si>
    <t>MSFT</t>
  </si>
  <si>
    <t>$30B+ quarterly net income.</t>
  </si>
  <si>
    <t>"Safety king"; high institutional support creates strong price floors.</t>
  </si>
  <si>
    <t>NVDA</t>
  </si>
  <si>
    <t>Strangles / CC</t>
  </si>
  <si>
    <t>High IV; $500B+ AI order backlog.</t>
  </si>
  <si>
    <t>Highest premium yield; deep liquidity for rolling trades.</t>
  </si>
  <si>
    <t>TSLA</t>
  </si>
  <si>
    <t>CC / CSP</t>
  </si>
  <si>
    <t>Extremely high IV; high beta.</t>
  </si>
  <si>
    <t>Maximum income potential; best for aggressive cost-basis reduction.</t>
  </si>
  <si>
    <t>QQQ</t>
  </si>
  <si>
    <t>Tech Index</t>
  </si>
  <si>
    <t>Tracks Nasdaq 100; higher IV than SPY.</t>
  </si>
  <si>
    <t>Captures tech growth volatility without the risk of a single company failing.</t>
  </si>
  <si>
    <t>GSD</t>
  </si>
  <si>
    <t>Physical Gold ETF (Bullion-backed)</t>
  </si>
  <si>
    <t>Wealth preservation &amp; Portfolio insurance</t>
  </si>
  <si>
    <t>Bullish Outlook: Price targets are pushing toward $5,000/oz by Q4 2026.</t>
  </si>
  <si>
    <t>Diversification: High liquidity and low correlation to traditional stocks.</t>
  </si>
  <si>
    <t xml:space="preserve">todo </t>
  </si>
  <si>
    <t>get cash amt</t>
  </si>
  <si>
    <t>update github actions</t>
  </si>
  <si>
    <t>Biotic (HEAL)</t>
  </si>
  <si>
    <t>VWRA/VT: The concrete foundation. ES3/DHL: The income pillars (Stability/Cash Flow). 82846: The growth pillar (China exposure).</t>
  </si>
  <si>
    <t>82846 (china etf)</t>
  </si>
  <si>
    <t>DHL (dividend)</t>
  </si>
  <si>
    <t>ES3 (singapore banks)</t>
  </si>
  <si>
    <t>VWRA (VT USD)</t>
  </si>
  <si>
    <t>Actual</t>
  </si>
  <si>
    <t>Total</t>
  </si>
  <si>
    <t>Invested</t>
  </si>
  <si>
    <t>Cash</t>
  </si>
  <si>
    <t xml:space="preserve">Actual % </t>
  </si>
  <si>
    <t>Currency</t>
  </si>
  <si>
    <t>WORLD (VT, no EM, hedged)</t>
  </si>
  <si>
    <t>XMME (EM, unhedged)</t>
  </si>
  <si>
    <t>CHF</t>
  </si>
  <si>
    <t>Nasdaq (CSNDX)</t>
  </si>
  <si>
    <t>Nasdaq (EQCH, hedged)</t>
  </si>
  <si>
    <t>Energy (GRID)</t>
  </si>
  <si>
    <t>China Tech (CBUK, unhedged)</t>
  </si>
  <si>
    <t>Global Triads (the strategic core)</t>
  </si>
  <si>
    <t>Four Horsemen (growth engine)</t>
  </si>
  <si>
    <t>Cash Cow (income Strategy)</t>
  </si>
  <si>
    <t>The Alpha (theme, buy calls)</t>
  </si>
  <si>
    <t>The Omega (insurance, bear spreads)</t>
  </si>
  <si>
    <t>The Vault (Gold)</t>
  </si>
  <si>
    <t>The War Chest (Cash)</t>
  </si>
  <si>
    <t>WORLD</t>
  </si>
  <si>
    <t>XMME</t>
  </si>
  <si>
    <t>Focus and Sector</t>
  </si>
  <si>
    <t>Expense Ratio</t>
  </si>
  <si>
    <t>Investment Strategy Profile</t>
  </si>
  <si>
    <t>AUM</t>
  </si>
  <si>
    <t>1 Year Returns</t>
  </si>
  <si>
    <t>China Large &amp; Mid-Cap Equities (CSI 300 Index tracking top 300 stocks from Shanghai and Shenzhen exchanges)</t>
  </si>
  <si>
    <t>Passive index replication via representative sampling. Tracks CSI 300 (300 largest A-shares). Hong Kong-listed, CNY counter (also available as 2846 HKD, 9846 USD)</t>
  </si>
  <si>
    <t>~CNY 1.45B</t>
  </si>
  <si>
    <t>N/A</t>
  </si>
  <si>
    <t>Stock ticker for Deutsche Post/DHL Group - integrated freight &amp; logistics company. Market cap ~€54B. Dividend yield ~4.5%</t>
  </si>
  <si>
    <t>+29.64%</t>
  </si>
  <si>
    <t>Singapore Blue-Chip Equities (Straits Times Index tracking top 30 Singapore companies including DBS, OCBC, UOB)</t>
  </si>
  <si>
    <t>0.30%</t>
  </si>
  <si>
    <t>Passive index tracking via representative sampling. Tracks STI (top 30 SGX blue-chips). Semi-annual dividend distribution. Low-cost Singapore market exposure</t>
  </si>
  <si>
    <t>~SGD 2.4B</t>
  </si>
  <si>
    <t>+34.03%</t>
  </si>
  <si>
    <t>Global All-World Equities (Developed + Emerging Markets, ~3,900 holdings across 50 countries, 95% of global investable market cap)</t>
  </si>
  <si>
    <t>0.19%</t>
  </si>
  <si>
    <t>Passive full replication of FTSE All-World. Accumulating (reinvests dividends). Ireland-domiciled UCITS. Covers developed (90%) + emerging (10%) markets globally</t>
  </si>
  <si>
    <t>~USD 51.5B</t>
  </si>
  <si>
    <t>+22.49%</t>
  </si>
  <si>
    <t>Developed Markets Equities (MSCI World Index, CHF-hedged, Large &amp; Mid-Cap stocks from 23 developed countries)</t>
  </si>
  <si>
    <t>0.55%</t>
  </si>
  <si>
    <t>Currency-hedged to CHF. Passive sampling methodology tracking MSCI World. Accumulating share class. Suitable for CHF-based investors seeking developed market exposure without FX risk</t>
  </si>
  <si>
    <t>~CHF 981M</t>
  </si>
  <si>
    <t>+13.29%</t>
  </si>
  <si>
    <t>Emerging Markets Equities (MSCI Emerging Markets Index tracking large &amp; mid-cap stocks from 24 emerging market countries)</t>
  </si>
  <si>
    <t>0.18%</t>
  </si>
  <si>
    <t>Passive replication of MSCI EM Index. Accumulating share class. Covers 24 emerging markets with China (28%), Taiwan (21%), India (15%) as top country weights</t>
  </si>
  <si>
    <t>~CHF 7.85B</t>
  </si>
  <si>
    <t>+14.72%</t>
  </si>
  <si>
    <t>Deutsche Post AG - logistics/freight)</t>
  </si>
  <si>
    <t>EQCH</t>
  </si>
  <si>
    <t>CBUK</t>
  </si>
  <si>
    <t>GRID</t>
  </si>
  <si>
    <t>Germany</t>
  </si>
  <si>
    <t>Swiss</t>
  </si>
  <si>
    <t>Netherlands</t>
  </si>
  <si>
    <t>Country</t>
  </si>
  <si>
    <t>UK</t>
  </si>
  <si>
    <t>1.1b</t>
  </si>
  <si>
    <t>2.1b</t>
  </si>
  <si>
    <t>600m</t>
  </si>
  <si>
    <t>22.5b</t>
  </si>
  <si>
    <t>686m</t>
  </si>
  <si>
    <t>1.0b</t>
  </si>
  <si>
    <t>1.6b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</si>
</sst>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&quot;$&quot;* #,##0_);_(&quot;$&quot;* \(#,##0\);_(&quot;$&quot;* &quot;-&quot;??_);_(@_)"/>
    <numFmt numFmtId="166" formatCode="_(* #,##0_);_(* \(#,##0\);_(* &quot;-&quot;??_);_(@_)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onsolas"/>
      <family val="2"/>
    </font>
    <font>
      <b/>
      <sz val="12"/>
      <color theme="1"/>
      <name val="Consolas"/>
      <family val="2"/>
    </font>
    <font>
      <sz val="18"/>
      <color theme="1"/>
      <name val="Consolas"/>
      <family val="2"/>
    </font>
    <font>
      <sz val="12"/>
      <color rgb="FF1F1F1F"/>
      <name val="Consolas"/>
      <family val="2"/>
    </font>
    <font>
      <i/>
      <sz val="12"/>
      <color theme="1"/>
      <name val="Consolas"/>
      <family val="2"/>
    </font>
    <font>
      <i/>
      <sz val="10"/>
      <color theme="1"/>
      <name val="Consolas"/>
      <family val="2"/>
    </font>
    <font>
      <sz val="11"/>
      <color rgb="FF000000"/>
      <name val="Calibri"/>
      <family val="2"/>
    </font>
    <font>
      <i/>
      <sz val="12"/>
      <color theme="1" tint="0.14999847407452621"/>
      <name val="Consolas"/>
      <family val="2"/>
    </font>
    <font>
      <b/>
      <sz val="12"/>
      <name val="Consolas"/>
      <family val="2"/>
    </font>
    <font>
      <sz val="10"/>
      <color theme="1"/>
      <name val="Consolas"/>
      <family val="2"/>
    </font>
    <font>
      <b/>
      <sz val="10"/>
      <color theme="1"/>
      <name val="Consolas"/>
      <family val="2"/>
    </font>
    <font>
      <sz val="9"/>
      <color theme="1"/>
      <name val="Consolas"/>
      <family val="2"/>
    </font>
    <font>
      <sz val="10"/>
      <color theme="1"/>
      <name val="Calibri"/>
      <family val="2"/>
      <scheme val="minor"/>
    </font>
    <font>
      <sz val="11"/>
      <name val="Consolas"/>
      <family val="2"/>
    </font>
    <font>
      <sz val="11"/>
      <color theme="1"/>
      <name val="Consolas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44" fontId="1" fillId="0" borderId="0"/>
    <xf numFmtId="9" fontId="1" fillId="0" borderId="0"/>
    <xf numFmtId="43" fontId="1" fillId="0" borderId="0" applyFont="0" applyFill="0" applyBorder="0" applyAlignment="0" applyProtection="0"/>
  </cellStyleXfs>
  <cellXfs count="63">
    <xf numFmtId="0" fontId="0" fillId="0" borderId="0" xfId="0"/>
    <xf numFmtId="0" fontId="2" fillId="0" borderId="0" xfId="0" applyFont="1"/>
    <xf numFmtId="0" fontId="4" fillId="0" borderId="0" xfId="0" applyFont="1"/>
    <xf numFmtId="10" fontId="2" fillId="0" borderId="0" xfId="0" applyNumberFormat="1" applyFont="1"/>
    <xf numFmtId="44" fontId="2" fillId="0" borderId="0" xfId="0" applyNumberFormat="1" applyFont="1"/>
    <xf numFmtId="0" fontId="2" fillId="0" borderId="2" xfId="0" applyFont="1" applyBorder="1"/>
    <xf numFmtId="0" fontId="5" fillId="0" borderId="2" xfId="0" applyFont="1" applyBorder="1"/>
    <xf numFmtId="0" fontId="2" fillId="0" borderId="3" xfId="0" applyFont="1" applyBorder="1"/>
    <xf numFmtId="164" fontId="2" fillId="0" borderId="3" xfId="0" applyNumberFormat="1" applyFont="1" applyBorder="1"/>
    <xf numFmtId="44" fontId="2" fillId="0" borderId="3" xfId="0" applyNumberFormat="1" applyFont="1" applyBorder="1"/>
    <xf numFmtId="9" fontId="2" fillId="0" borderId="0" xfId="2" applyFont="1"/>
    <xf numFmtId="0" fontId="3" fillId="0" borderId="0" xfId="0" applyFont="1"/>
    <xf numFmtId="0" fontId="9" fillId="0" borderId="0" xfId="0" applyFont="1"/>
    <xf numFmtId="0" fontId="6" fillId="0" borderId="0" xfId="0" applyFont="1"/>
    <xf numFmtId="0" fontId="7" fillId="0" borderId="0" xfId="0" applyFont="1"/>
    <xf numFmtId="0" fontId="2" fillId="0" borderId="0" xfId="0" applyFont="1" applyAlignment="1">
      <alignment wrapText="1"/>
    </xf>
    <xf numFmtId="0" fontId="3" fillId="0" borderId="1" xfId="0" applyFont="1" applyBorder="1" applyAlignment="1">
      <alignment horizontal="center"/>
    </xf>
    <xf numFmtId="0" fontId="11" fillId="0" borderId="0" xfId="0" applyFont="1"/>
    <xf numFmtId="0" fontId="12" fillId="0" borderId="0" xfId="0" applyFont="1"/>
    <xf numFmtId="165" fontId="12" fillId="0" borderId="0" xfId="1" applyNumberFormat="1" applyFont="1"/>
    <xf numFmtId="165" fontId="12" fillId="0" borderId="0" xfId="0" applyNumberFormat="1" applyFont="1"/>
    <xf numFmtId="0" fontId="13" fillId="0" borderId="0" xfId="0" applyFont="1"/>
    <xf numFmtId="166" fontId="11" fillId="0" borderId="0" xfId="3" applyNumberFormat="1" applyFont="1"/>
    <xf numFmtId="10" fontId="14" fillId="0" borderId="0" xfId="2" applyNumberFormat="1" applyFont="1"/>
    <xf numFmtId="165" fontId="3" fillId="0" borderId="0" xfId="1" applyNumberFormat="1" applyFont="1"/>
    <xf numFmtId="165" fontId="9" fillId="0" borderId="0" xfId="1" applyNumberFormat="1" applyFont="1"/>
    <xf numFmtId="165" fontId="6" fillId="0" borderId="0" xfId="1" applyNumberFormat="1" applyFont="1"/>
    <xf numFmtId="0" fontId="3" fillId="0" borderId="5" xfId="0" applyFont="1" applyBorder="1"/>
    <xf numFmtId="44" fontId="3" fillId="0" borderId="5" xfId="1" applyFont="1" applyBorder="1"/>
    <xf numFmtId="44" fontId="2" fillId="0" borderId="0" xfId="1" applyFont="1"/>
    <xf numFmtId="0" fontId="3" fillId="0" borderId="4" xfId="0" applyFont="1" applyBorder="1" applyAlignment="1">
      <alignment horizontal="center"/>
    </xf>
    <xf numFmtId="165" fontId="3" fillId="0" borderId="5" xfId="1" applyNumberFormat="1" applyFont="1" applyBorder="1"/>
    <xf numFmtId="165" fontId="9" fillId="0" borderId="5" xfId="1" applyNumberFormat="1" applyFont="1" applyBorder="1"/>
    <xf numFmtId="165" fontId="6" fillId="0" borderId="5" xfId="1" applyNumberFormat="1" applyFont="1" applyBorder="1"/>
    <xf numFmtId="165" fontId="3" fillId="0" borderId="4" xfId="1" applyNumberFormat="1" applyFont="1" applyBorder="1"/>
    <xf numFmtId="0" fontId="2" fillId="0" borderId="7" xfId="0" applyFont="1" applyBorder="1"/>
    <xf numFmtId="44" fontId="2" fillId="0" borderId="7" xfId="1" applyFont="1" applyBorder="1"/>
    <xf numFmtId="0" fontId="3" fillId="0" borderId="8" xfId="0" applyFont="1" applyBorder="1" applyAlignment="1">
      <alignment horizontal="center"/>
    </xf>
    <xf numFmtId="9" fontId="3" fillId="0" borderId="7" xfId="2" applyFont="1" applyBorder="1"/>
    <xf numFmtId="9" fontId="9" fillId="0" borderId="7" xfId="2" applyFont="1" applyBorder="1"/>
    <xf numFmtId="9" fontId="6" fillId="0" borderId="7" xfId="2" applyFont="1" applyBorder="1"/>
    <xf numFmtId="9" fontId="3" fillId="0" borderId="8" xfId="2" applyFont="1" applyBorder="1"/>
    <xf numFmtId="0" fontId="2" fillId="0" borderId="9" xfId="0" applyFont="1" applyBorder="1"/>
    <xf numFmtId="0" fontId="3" fillId="0" borderId="6" xfId="0" applyFont="1" applyBorder="1"/>
    <xf numFmtId="0" fontId="3" fillId="0" borderId="9" xfId="0" applyFont="1" applyBorder="1"/>
    <xf numFmtId="0" fontId="6" fillId="0" borderId="9" xfId="0" applyFont="1" applyBorder="1" applyAlignment="1">
      <alignment horizontal="left" indent="4"/>
    </xf>
    <xf numFmtId="0" fontId="2" fillId="0" borderId="5" xfId="0" applyFont="1" applyBorder="1"/>
    <xf numFmtId="165" fontId="3" fillId="0" borderId="5" xfId="0" applyNumberFormat="1" applyFont="1" applyBorder="1"/>
    <xf numFmtId="165" fontId="9" fillId="0" borderId="5" xfId="0" applyNumberFormat="1" applyFont="1" applyBorder="1"/>
    <xf numFmtId="165" fontId="6" fillId="0" borderId="5" xfId="0" applyNumberFormat="1" applyFont="1" applyBorder="1"/>
    <xf numFmtId="165" fontId="3" fillId="0" borderId="4" xfId="0" applyNumberFormat="1" applyFont="1" applyBorder="1"/>
    <xf numFmtId="0" fontId="3" fillId="0" borderId="1" xfId="0" applyFont="1" applyBorder="1"/>
    <xf numFmtId="0" fontId="6" fillId="0" borderId="0" xfId="0" applyFont="1" applyAlignment="1">
      <alignment horizontal="left" indent="4"/>
    </xf>
    <xf numFmtId="164" fontId="3" fillId="0" borderId="0" xfId="2" applyNumberFormat="1" applyFont="1"/>
    <xf numFmtId="164" fontId="9" fillId="0" borderId="0" xfId="2" applyNumberFormat="1" applyFont="1"/>
    <xf numFmtId="164" fontId="6" fillId="0" borderId="0" xfId="2" applyNumberFormat="1" applyFont="1"/>
    <xf numFmtId="165" fontId="10" fillId="2" borderId="1" xfId="1" applyNumberFormat="1" applyFont="1" applyFill="1" applyBorder="1" applyAlignment="1">
      <alignment horizontal="right"/>
    </xf>
    <xf numFmtId="0" fontId="15" fillId="0" borderId="0" xfId="0" applyFont="1" applyBorder="1" applyAlignment="1">
      <alignment vertical="top" wrapText="1"/>
    </xf>
    <xf numFmtId="0" fontId="2" fillId="0" borderId="0" xfId="0" applyFont="1" applyBorder="1"/>
    <xf numFmtId="0" fontId="16" fillId="0" borderId="0" xfId="0" applyFont="1" applyBorder="1" applyAlignment="1">
      <alignment vertical="top" wrapText="1"/>
    </xf>
    <xf numFmtId="10" fontId="16" fillId="0" borderId="0" xfId="0" applyNumberFormat="1" applyFont="1" applyBorder="1" applyAlignment="1">
      <alignment vertical="top" wrapText="1"/>
    </xf>
    <xf numFmtId="10" fontId="16" fillId="0" borderId="0" xfId="0" applyNumberFormat="1" applyFont="1" applyBorder="1" applyAlignment="1">
      <alignment horizontal="right" vertical="top" wrapText="1"/>
    </xf>
    <xf numFmtId="0" fontId="16" fillId="0" borderId="0" xfId="0" applyFont="1" applyBorder="1" applyAlignment="1">
      <alignment horizontal="right" vertical="top" wrapText="1"/>
    </xf>
  </cellXfs>
  <cellStyles count="4">
    <cellStyle name="Comma" xfId="3" builtinId="3"/>
    <cellStyle name="Currency" xfId="1" builtinId="4"/>
    <cellStyle name="Normal" xfId="0" builtinId="0"/>
    <cellStyle name="Per cent" xfId="2" builtinId="5"/>
  </cellStyles>
  <dxfs count="32"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</dxfs>
  <tableStyles count="0" defaultTableStyle="TableStyleMedium9" defaultPivotStyle="PivotStyleLight16"/>
  <colors>
    <mruColors>
      <color rgb="FFFF7E79"/>
      <color rgb="FFFF2600"/>
      <color rgb="FFFFFD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Dashboard!$B$51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Dashboard!$A$52:$A$58</c:f>
              <c:strCache>
                <c:ptCount val="7"/>
                <c:pt idx="0">
                  <c:v>Global Triads (the strategic core)</c:v>
                </c:pt>
                <c:pt idx="1">
                  <c:v>Four Horsemen (growth engine)</c:v>
                </c:pt>
                <c:pt idx="2">
                  <c:v>Cash Cow (income Strategy)</c:v>
                </c:pt>
                <c:pt idx="3">
                  <c:v>The Alpha (theme, buy calls)</c:v>
                </c:pt>
                <c:pt idx="4">
                  <c:v>The Omega (insurance, bear spreads)</c:v>
                </c:pt>
                <c:pt idx="5">
                  <c:v>The Vault (Gold)</c:v>
                </c:pt>
                <c:pt idx="6">
                  <c:v>The War Chest (Cash)</c:v>
                </c:pt>
              </c:strCache>
            </c:strRef>
          </c:cat>
          <c:val>
            <c:numRef>
              <c:f>Dashboard!$B$52:$B$58</c:f>
              <c:numCache>
                <c:formatCode>_("$"* #,##0_);_("$"* \(#,##0\);_("$"* "-"??_);_(@_)</c:formatCode>
                <c:ptCount val="7"/>
                <c:pt idx="0">
                  <c:v>283773.76941000001</c:v>
                </c:pt>
                <c:pt idx="1">
                  <c:v>283773.76941000001</c:v>
                </c:pt>
                <c:pt idx="2">
                  <c:v>236478.141175</c:v>
                </c:pt>
                <c:pt idx="3">
                  <c:v>23647.814117500002</c:v>
                </c:pt>
                <c:pt idx="4">
                  <c:v>23647.814117500002</c:v>
                </c:pt>
                <c:pt idx="5">
                  <c:v>47295.628235000004</c:v>
                </c:pt>
                <c:pt idx="6">
                  <c:v>47295.628235000004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EB-B049-85E5-F5553A4B093C}"/>
            </c:ext>
          </c:extLst>
        </c:ser>
        <c:ser>
          <c:idx val="1"/>
          <c:order val="1"/>
          <c:tx>
            <c:strRef>
              <c:f>Dashboard!$C$51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Dashboard!$A$52:$A$58</c:f>
              <c:strCache>
                <c:ptCount val="7"/>
                <c:pt idx="0">
                  <c:v>Global Triads (the strategic core)</c:v>
                </c:pt>
                <c:pt idx="1">
                  <c:v>Four Horsemen (growth engine)</c:v>
                </c:pt>
                <c:pt idx="2">
                  <c:v>Cash Cow (income Strategy)</c:v>
                </c:pt>
                <c:pt idx="3">
                  <c:v>The Alpha (theme, buy calls)</c:v>
                </c:pt>
                <c:pt idx="4">
                  <c:v>The Omega (insurance, bear spreads)</c:v>
                </c:pt>
                <c:pt idx="5">
                  <c:v>The Vault (Gold)</c:v>
                </c:pt>
                <c:pt idx="6">
                  <c:v>The War Chest (Cash)</c:v>
                </c:pt>
              </c:strCache>
            </c:strRef>
          </c:cat>
          <c:val>
            <c:numRef>
              <c:f>Dashboard!$C$52:$C$58</c:f>
              <c:numCache>
                <c:formatCode>_("$"* #,##0_);_("$"* \(#,##0\);_("$"* "-"??_);_(@_)</c:formatCode>
                <c:ptCount val="7"/>
                <c:pt idx="0">
                  <c:v>296687.19050000003</c:v>
                </c:pt>
                <c:pt idx="1">
                  <c:v>158901.74780000001</c:v>
                </c:pt>
                <c:pt idx="2">
                  <c:v>153695</c:v>
                </c:pt>
                <c:pt idx="3">
                  <c:v>11496.47999999996</c:v>
                </c:pt>
                <c:pt idx="4">
                  <c:v>18733.440000000002</c:v>
                </c:pt>
                <c:pt idx="5">
                  <c:v>50628.296399999999</c:v>
                </c:pt>
                <c:pt idx="6">
                  <c:v>293237.29000000004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EB-B049-85E5-F5553A4B093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687657343"/>
        <c:axId val="687667199"/>
      </c:barChart>
      <c:catAx>
        <c:axId val="68765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7667199"/>
        <c:crosses val="autoZero"/>
        <c:auto val="1"/>
        <c:lblAlgn val="ctr"/>
        <c:lblOffset val="100"/>
        <c:noMultiLvlLbl val="0"/>
      </c:catAx>
      <c:valAx>
        <c:axId val="6876671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76573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7CA-4240-A0C1-E5FBA5DBA144}"/>
              </c:ext>
            </c:extLst>
          </c:dPt>
          <c:dPt>
            <c:idx val="1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57CA-4240-A0C1-E5FBA5DBA144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1-57CA-4240-A0C1-E5FBA5DBA144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2-57CA-4240-A0C1-E5FBA5DBA14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spc="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(Dashboard!$G$43,Dashboard!$G$45)</c:f>
              <c:strCache>
                <c:ptCount val="2"/>
                <c:pt idx="0">
                  <c:v>Invested</c:v>
                </c:pt>
                <c:pt idx="1">
                  <c:v>Cash</c:v>
                </c:pt>
              </c:strCache>
            </c:strRef>
          </c:cat>
          <c:val>
            <c:numRef>
              <c:f>(Dashboard!$H$43,Dashboard!$H$45)</c:f>
              <c:numCache>
                <c:formatCode>0.00%</c:formatCode>
                <c:ptCount val="2"/>
                <c:pt idx="0">
                  <c:v>0.68999535375343979</c:v>
                </c:pt>
                <c:pt idx="1">
                  <c:v>0.31000464624656027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CA-4240-A0C1-E5FBA5DBA144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146050</xdr:colOff>
      <xdr:row>24</xdr:row>
      <xdr:rowOff>101600</xdr:rowOff>
    </xdr:from>
    <xdr:to>
      <xdr:col>5</xdr:col>
      <xdr:colOff>1219200</xdr:colOff>
      <xdr:row>48</xdr:row>
      <xdr:rowOff>152400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7F781D2-B9A2-D72A-0057-2784E88FEC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12700</xdr:colOff>
      <xdr:row>24</xdr:row>
      <xdr:rowOff>88900</xdr:rowOff>
    </xdr:from>
    <xdr:to>
      <xdr:col>9</xdr:col>
      <xdr:colOff>12700</xdr:colOff>
      <xdr:row>37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2697EC8-4EFA-6C90-F231-0485031FE2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hongkiatkoh/Developer/timeless-workspace/projects/fetch-ibkr-positions.xlsx" TargetMode="External"/><Relationship Id="rId1" Type="http://schemas.openxmlformats.org/officeDocument/2006/relationships/externalLinkPath" Target="fetch-ibkr-posi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ositionsHK"/>
      <sheetName val="PositionsAL"/>
      <sheetName val="Summary"/>
      <sheetName val="Metadata"/>
    </sheetNames>
    <sheetDataSet>
      <sheetData sheetId="0">
        <row r="1">
          <cell r="D1" t="str">
            <v>AssetClass</v>
          </cell>
          <cell r="F1" t="str">
            <v>Symbol</v>
          </cell>
          <cell r="T1" t="str">
            <v>Side</v>
          </cell>
          <cell r="V1" t="str">
            <v>PositionValueUSD</v>
          </cell>
        </row>
        <row r="2">
          <cell r="D2" t="str">
            <v>STK</v>
          </cell>
          <cell r="F2" t="str">
            <v>EQCH</v>
          </cell>
          <cell r="T2" t="str">
            <v>Long</v>
          </cell>
          <cell r="V2">
            <v>21460.376799999998</v>
          </cell>
        </row>
        <row r="3">
          <cell r="D3" t="str">
            <v>STK</v>
          </cell>
          <cell r="F3" t="str">
            <v>WORLD</v>
          </cell>
          <cell r="T3" t="str">
            <v>Long</v>
          </cell>
          <cell r="V3">
            <v>20804.541300000001</v>
          </cell>
        </row>
        <row r="4">
          <cell r="D4" t="str">
            <v>STK</v>
          </cell>
          <cell r="F4" t="str">
            <v>XMME</v>
          </cell>
          <cell r="T4" t="str">
            <v>Long</v>
          </cell>
          <cell r="V4">
            <v>12489.9864</v>
          </cell>
        </row>
        <row r="5">
          <cell r="D5" t="str">
            <v>STK</v>
          </cell>
          <cell r="F5" t="str">
            <v>82846</v>
          </cell>
          <cell r="T5" t="str">
            <v>Long</v>
          </cell>
          <cell r="V5">
            <v>9192.3216000000011</v>
          </cell>
        </row>
        <row r="6">
          <cell r="D6" t="str">
            <v>STK</v>
          </cell>
          <cell r="F6" t="str">
            <v>CBUK</v>
          </cell>
          <cell r="T6" t="str">
            <v>Long</v>
          </cell>
          <cell r="V6">
            <v>21933.266199999998</v>
          </cell>
        </row>
        <row r="7">
          <cell r="D7" t="str">
            <v>STK</v>
          </cell>
          <cell r="F7" t="str">
            <v>ES3</v>
          </cell>
          <cell r="T7" t="str">
            <v>Long</v>
          </cell>
          <cell r="V7">
            <v>19845.627899999999</v>
          </cell>
        </row>
        <row r="8">
          <cell r="D8" t="str">
            <v>STK</v>
          </cell>
          <cell r="F8" t="str">
            <v>GSD</v>
          </cell>
          <cell r="T8" t="str">
            <v>Long</v>
          </cell>
          <cell r="V8">
            <v>25314.1482</v>
          </cell>
        </row>
        <row r="9">
          <cell r="D9" t="str">
            <v>STK</v>
          </cell>
          <cell r="F9" t="str">
            <v>BITO</v>
          </cell>
          <cell r="T9" t="str">
            <v>Long</v>
          </cell>
          <cell r="V9">
            <v>1166</v>
          </cell>
        </row>
        <row r="10">
          <cell r="D10" t="str">
            <v>STK</v>
          </cell>
          <cell r="F10" t="str">
            <v>CELH</v>
          </cell>
          <cell r="T10" t="str">
            <v>Long</v>
          </cell>
          <cell r="V10">
            <v>2668.5</v>
          </cell>
        </row>
        <row r="11">
          <cell r="D11" t="str">
            <v>STK</v>
          </cell>
          <cell r="F11" t="str">
            <v>CHA</v>
          </cell>
          <cell r="T11" t="str">
            <v>Long</v>
          </cell>
          <cell r="V11">
            <v>1206</v>
          </cell>
        </row>
        <row r="12">
          <cell r="D12" t="str">
            <v>STK</v>
          </cell>
          <cell r="F12" t="str">
            <v>CSNDX</v>
          </cell>
          <cell r="T12" t="str">
            <v>Long</v>
          </cell>
          <cell r="V12">
            <v>21996</v>
          </cell>
        </row>
        <row r="13">
          <cell r="D13" t="str">
            <v>STK</v>
          </cell>
          <cell r="F13" t="str">
            <v>GOOGL</v>
          </cell>
          <cell r="T13" t="str">
            <v>Long</v>
          </cell>
          <cell r="V13">
            <v>33825</v>
          </cell>
        </row>
        <row r="14">
          <cell r="D14" t="str">
            <v>STK</v>
          </cell>
          <cell r="F14" t="str">
            <v>HEAL</v>
          </cell>
          <cell r="T14" t="str">
            <v>Long</v>
          </cell>
          <cell r="V14">
            <v>9372.5</v>
          </cell>
        </row>
        <row r="15">
          <cell r="D15" t="str">
            <v>STK</v>
          </cell>
          <cell r="F15" t="str">
            <v>INRA</v>
          </cell>
          <cell r="T15" t="str">
            <v>Long</v>
          </cell>
          <cell r="V15">
            <v>10423.450000000001</v>
          </cell>
        </row>
        <row r="16">
          <cell r="D16" t="str">
            <v>STK</v>
          </cell>
          <cell r="F16" t="str">
            <v>LKNCY</v>
          </cell>
          <cell r="T16" t="str">
            <v>Long</v>
          </cell>
          <cell r="V16">
            <v>1630.5</v>
          </cell>
        </row>
        <row r="17">
          <cell r="D17" t="str">
            <v>STK</v>
          </cell>
          <cell r="F17" t="str">
            <v>LOCK</v>
          </cell>
          <cell r="T17" t="str">
            <v>Long</v>
          </cell>
          <cell r="V17">
            <v>9850</v>
          </cell>
        </row>
        <row r="18">
          <cell r="D18" t="str">
            <v>STK</v>
          </cell>
          <cell r="F18" t="str">
            <v>NVDA</v>
          </cell>
          <cell r="T18" t="str">
            <v>Long</v>
          </cell>
          <cell r="V18">
            <v>38502</v>
          </cell>
        </row>
        <row r="19">
          <cell r="D19" t="str">
            <v>STK</v>
          </cell>
          <cell r="F19" t="str">
            <v>ORCL</v>
          </cell>
          <cell r="T19" t="str">
            <v>Long</v>
          </cell>
          <cell r="V19">
            <v>16901</v>
          </cell>
        </row>
        <row r="20">
          <cell r="D20" t="str">
            <v>STK</v>
          </cell>
          <cell r="F20" t="str">
            <v>SE</v>
          </cell>
          <cell r="T20" t="str">
            <v>Long</v>
          </cell>
          <cell r="V20">
            <v>1219</v>
          </cell>
        </row>
        <row r="21">
          <cell r="D21" t="str">
            <v>STK</v>
          </cell>
          <cell r="F21" t="str">
            <v>VWRA</v>
          </cell>
          <cell r="T21" t="str">
            <v>Long</v>
          </cell>
          <cell r="V21">
            <v>34908</v>
          </cell>
        </row>
        <row r="22">
          <cell r="D22" t="str">
            <v>OPT</v>
          </cell>
          <cell r="F22" t="str">
            <v>QQQ   261218P00560000</v>
          </cell>
          <cell r="T22" t="str">
            <v>Long</v>
          </cell>
          <cell r="V22">
            <v>4808.72</v>
          </cell>
        </row>
        <row r="23">
          <cell r="D23" t="str">
            <v>OPT</v>
          </cell>
          <cell r="F23" t="str">
            <v>SPY   261218P00620000</v>
          </cell>
          <cell r="T23" t="str">
            <v>Long</v>
          </cell>
          <cell r="V23">
            <v>4123</v>
          </cell>
        </row>
        <row r="24">
          <cell r="D24" t="str">
            <v>FOP</v>
          </cell>
          <cell r="F24" t="str">
            <v>EW2G6 P6525</v>
          </cell>
          <cell r="T24" t="str">
            <v>Long</v>
          </cell>
          <cell r="V24">
            <v>800</v>
          </cell>
        </row>
        <row r="25">
          <cell r="D25" t="str">
            <v>FOP</v>
          </cell>
          <cell r="F25" t="str">
            <v>EW2G6 C7300</v>
          </cell>
          <cell r="T25" t="str">
            <v>Long</v>
          </cell>
          <cell r="V25">
            <v>70</v>
          </cell>
        </row>
        <row r="26">
          <cell r="D26" t="str">
            <v>OPT</v>
          </cell>
          <cell r="F26" t="str">
            <v>GOOGL 260227P00310000</v>
          </cell>
          <cell r="T26" t="str">
            <v>Short</v>
          </cell>
          <cell r="V26">
            <v>-450</v>
          </cell>
        </row>
        <row r="27">
          <cell r="D27" t="str">
            <v>OPT</v>
          </cell>
          <cell r="F27" t="str">
            <v>GOOGL 260227C00370000</v>
          </cell>
          <cell r="T27" t="str">
            <v>Short</v>
          </cell>
          <cell r="V27">
            <v>-457.5</v>
          </cell>
        </row>
        <row r="28">
          <cell r="D28" t="str">
            <v>OPT</v>
          </cell>
          <cell r="F28" t="str">
            <v>NVDA  260130C00195000</v>
          </cell>
          <cell r="T28" t="str">
            <v>Short</v>
          </cell>
          <cell r="V28">
            <v>-112.16</v>
          </cell>
        </row>
        <row r="29">
          <cell r="D29" t="str">
            <v>OPT</v>
          </cell>
          <cell r="F29" t="str">
            <v>ORCL  260213C00175000</v>
          </cell>
          <cell r="T29" t="str">
            <v>Short</v>
          </cell>
          <cell r="V29">
            <v>-550</v>
          </cell>
        </row>
        <row r="30">
          <cell r="D30" t="str">
            <v>OPT</v>
          </cell>
          <cell r="F30" t="str">
            <v>ORCL  260220C00200000</v>
          </cell>
          <cell r="T30" t="str">
            <v>Short</v>
          </cell>
          <cell r="V30">
            <v>-133.5</v>
          </cell>
        </row>
        <row r="31">
          <cell r="D31" t="str">
            <v>OPT</v>
          </cell>
          <cell r="F31" t="str">
            <v>QQQ   261218P00425000</v>
          </cell>
          <cell r="T31" t="str">
            <v>Short</v>
          </cell>
          <cell r="V31">
            <v>-1328.88</v>
          </cell>
        </row>
        <row r="32">
          <cell r="D32" t="str">
            <v>OPT</v>
          </cell>
          <cell r="F32" t="str">
            <v>SPY   261218P00505000</v>
          </cell>
          <cell r="T32" t="str">
            <v>Short</v>
          </cell>
          <cell r="V32">
            <v>-1529</v>
          </cell>
        </row>
        <row r="33">
          <cell r="D33" t="str">
            <v>FOP</v>
          </cell>
          <cell r="F33" t="str">
            <v>EW2G6 P6625</v>
          </cell>
          <cell r="T33" t="str">
            <v>Short</v>
          </cell>
          <cell r="V33">
            <v>-1250</v>
          </cell>
        </row>
        <row r="34">
          <cell r="D34" t="str">
            <v>FOP</v>
          </cell>
          <cell r="F34" t="str">
            <v>EW2G6 C7200</v>
          </cell>
          <cell r="T34" t="str">
            <v>Short</v>
          </cell>
          <cell r="V34">
            <v>-405</v>
          </cell>
        </row>
      </sheetData>
      <sheetData sheetId="1">
        <row r="1">
          <cell r="D1" t="str">
            <v>AssetClass</v>
          </cell>
          <cell r="F1" t="str">
            <v>Symbol</v>
          </cell>
          <cell r="T1" t="str">
            <v>Side</v>
          </cell>
          <cell r="V1" t="str">
            <v>PositionValueUSD</v>
          </cell>
        </row>
        <row r="2">
          <cell r="D2" t="str">
            <v>STK</v>
          </cell>
          <cell r="F2" t="str">
            <v>EQCH</v>
          </cell>
          <cell r="T2" t="str">
            <v>Long</v>
          </cell>
          <cell r="V2">
            <v>26825.471000000001</v>
          </cell>
        </row>
        <row r="3">
          <cell r="D3" t="str">
            <v>STK</v>
          </cell>
          <cell r="F3" t="str">
            <v>WORLD</v>
          </cell>
          <cell r="T3" t="str">
            <v>Long</v>
          </cell>
          <cell r="V3">
            <v>25427.772700000001</v>
          </cell>
        </row>
        <row r="4">
          <cell r="D4" t="str">
            <v>STK</v>
          </cell>
          <cell r="F4" t="str">
            <v>XMME</v>
          </cell>
          <cell r="T4" t="str">
            <v>Long</v>
          </cell>
          <cell r="V4">
            <v>16653.315200000001</v>
          </cell>
        </row>
        <row r="5">
          <cell r="D5" t="str">
            <v>STK</v>
          </cell>
          <cell r="F5" t="str">
            <v>82846</v>
          </cell>
          <cell r="T5" t="str">
            <v>Long</v>
          </cell>
          <cell r="V5">
            <v>9192.3216000000011</v>
          </cell>
        </row>
        <row r="6">
          <cell r="D6" t="str">
            <v>STK</v>
          </cell>
          <cell r="F6" t="str">
            <v>CBUK</v>
          </cell>
          <cell r="T6" t="str">
            <v>Long</v>
          </cell>
          <cell r="V6">
            <v>21933.266199999998</v>
          </cell>
        </row>
        <row r="7">
          <cell r="D7" t="str">
            <v>STK</v>
          </cell>
          <cell r="F7" t="str">
            <v>DHL</v>
          </cell>
          <cell r="T7" t="str">
            <v>Long</v>
          </cell>
          <cell r="V7">
            <v>56120.048000000003</v>
          </cell>
        </row>
        <row r="8">
          <cell r="D8" t="str">
            <v>STK</v>
          </cell>
          <cell r="F8" t="str">
            <v>ES3</v>
          </cell>
          <cell r="T8" t="str">
            <v>Long</v>
          </cell>
          <cell r="V8">
            <v>39691.255799999999</v>
          </cell>
        </row>
        <row r="9">
          <cell r="D9" t="str">
            <v>STK</v>
          </cell>
          <cell r="F9" t="str">
            <v>GSD</v>
          </cell>
          <cell r="T9" t="str">
            <v>Long</v>
          </cell>
          <cell r="V9">
            <v>25314.1482</v>
          </cell>
        </row>
        <row r="10">
          <cell r="D10" t="str">
            <v>STK</v>
          </cell>
          <cell r="F10" t="str">
            <v>BITO</v>
          </cell>
          <cell r="T10" t="str">
            <v>Long</v>
          </cell>
          <cell r="V10">
            <v>2332</v>
          </cell>
        </row>
        <row r="11">
          <cell r="D11" t="str">
            <v>STK</v>
          </cell>
          <cell r="F11" t="str">
            <v>CSNDX</v>
          </cell>
          <cell r="T11" t="str">
            <v>Long</v>
          </cell>
          <cell r="V11">
            <v>29328</v>
          </cell>
        </row>
        <row r="12">
          <cell r="D12" t="str">
            <v>STK</v>
          </cell>
          <cell r="F12" t="str">
            <v>GOOGL</v>
          </cell>
          <cell r="T12" t="str">
            <v>Long</v>
          </cell>
          <cell r="V12">
            <v>33825</v>
          </cell>
        </row>
        <row r="13">
          <cell r="D13" t="str">
            <v>STK</v>
          </cell>
          <cell r="F13" t="str">
            <v>HEAL</v>
          </cell>
          <cell r="T13" t="str">
            <v>Long</v>
          </cell>
          <cell r="V13">
            <v>9372.5</v>
          </cell>
        </row>
        <row r="14">
          <cell r="D14" t="str">
            <v>STK</v>
          </cell>
          <cell r="F14" t="str">
            <v>IBKR</v>
          </cell>
          <cell r="T14" t="str">
            <v>Long</v>
          </cell>
          <cell r="V14">
            <v>1274.48</v>
          </cell>
        </row>
        <row r="15">
          <cell r="D15" t="str">
            <v>STK</v>
          </cell>
          <cell r="F15" t="str">
            <v>INRA</v>
          </cell>
          <cell r="T15" t="str">
            <v>Long</v>
          </cell>
          <cell r="V15">
            <v>10423.450000000001</v>
          </cell>
        </row>
        <row r="16">
          <cell r="D16" t="str">
            <v>STK</v>
          </cell>
          <cell r="F16" t="str">
            <v>JPM</v>
          </cell>
          <cell r="T16" t="str">
            <v>Long</v>
          </cell>
          <cell r="V16">
            <v>30642</v>
          </cell>
        </row>
        <row r="17">
          <cell r="D17" t="str">
            <v>STK</v>
          </cell>
          <cell r="F17" t="str">
            <v>LOCK</v>
          </cell>
          <cell r="T17" t="str">
            <v>Long</v>
          </cell>
          <cell r="V17">
            <v>9850</v>
          </cell>
        </row>
        <row r="18">
          <cell r="D18" t="str">
            <v>STK</v>
          </cell>
          <cell r="F18" t="str">
            <v>VWRA</v>
          </cell>
          <cell r="T18" t="str">
            <v>Long</v>
          </cell>
          <cell r="V18">
            <v>52362</v>
          </cell>
        </row>
        <row r="19">
          <cell r="D19" t="str">
            <v>OPT</v>
          </cell>
          <cell r="F19" t="str">
            <v>QQQ   261218P00560000</v>
          </cell>
          <cell r="T19" t="str">
            <v>Long</v>
          </cell>
          <cell r="V19">
            <v>4808.72</v>
          </cell>
        </row>
        <row r="20">
          <cell r="D20" t="str">
            <v>OPT</v>
          </cell>
          <cell r="F20" t="str">
            <v>SPY   261218P00620000</v>
          </cell>
          <cell r="T20" t="str">
            <v>Long</v>
          </cell>
          <cell r="V20">
            <v>4123</v>
          </cell>
        </row>
        <row r="21">
          <cell r="D21" t="str">
            <v>OPT</v>
          </cell>
          <cell r="F21" t="str">
            <v>GOOGL 260206C00335000</v>
          </cell>
          <cell r="T21" t="str">
            <v>Short</v>
          </cell>
          <cell r="V21">
            <v>-1271.25</v>
          </cell>
        </row>
        <row r="22">
          <cell r="D22" t="str">
            <v>OPT</v>
          </cell>
          <cell r="F22" t="str">
            <v>GOOGL 260220P00315000</v>
          </cell>
          <cell r="T22" t="str">
            <v>Short</v>
          </cell>
          <cell r="V22">
            <v>-480</v>
          </cell>
        </row>
        <row r="23">
          <cell r="D23" t="str">
            <v>OPT</v>
          </cell>
          <cell r="F23" t="str">
            <v>JPM   260206C00315000</v>
          </cell>
          <cell r="T23" t="str">
            <v>Short</v>
          </cell>
          <cell r="V23">
            <v>-122</v>
          </cell>
        </row>
        <row r="24">
          <cell r="D24" t="str">
            <v>OPT</v>
          </cell>
          <cell r="F24" t="str">
            <v>QQQ   260130P00608000</v>
          </cell>
          <cell r="T24" t="str">
            <v>Short</v>
          </cell>
          <cell r="V24">
            <v>-8.5</v>
          </cell>
        </row>
        <row r="25">
          <cell r="D25" t="str">
            <v>OPT</v>
          </cell>
          <cell r="F25" t="str">
            <v>QQQ   261218P00425000</v>
          </cell>
          <cell r="T25" t="str">
            <v>Short</v>
          </cell>
          <cell r="V25">
            <v>-1328.88</v>
          </cell>
        </row>
        <row r="26">
          <cell r="D26" t="str">
            <v>OPT</v>
          </cell>
          <cell r="F26" t="str">
            <v>SPY   261218P00505000</v>
          </cell>
          <cell r="T26" t="str">
            <v>Short</v>
          </cell>
          <cell r="V26">
            <v>-1529</v>
          </cell>
        </row>
      </sheetData>
      <sheetData sheetId="2">
        <row r="2">
          <cell r="C2" t="str">
            <v>$134,409.76</v>
          </cell>
        </row>
        <row r="3">
          <cell r="C3" t="str">
            <v>$158,827.53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8"/>
  <sheetViews>
    <sheetView showGridLines="0" tabSelected="1" workbookViewId="0">
      <selection activeCell="F20" sqref="F20"/>
    </sheetView>
  </sheetViews>
  <sheetFormatPr baseColWidth="10" defaultColWidth="38.6640625" defaultRowHeight="16" x14ac:dyDescent="0.2"/>
  <cols>
    <col min="1" max="1" width="49.83203125" style="1" bestFit="1" customWidth="1"/>
    <col min="2" max="2" width="10.5" style="1" bestFit="1" customWidth="1"/>
    <col min="3" max="3" width="9.5" style="1" bestFit="1" customWidth="1"/>
    <col min="4" max="6" width="17.6640625" style="1" customWidth="1"/>
    <col min="7" max="7" width="12.83203125" style="1" customWidth="1"/>
    <col min="8" max="9" width="17.6640625" style="1" customWidth="1"/>
    <col min="10" max="10" width="12.83203125" style="1" customWidth="1"/>
    <col min="11" max="11" width="17.6640625" style="1" customWidth="1"/>
    <col min="12" max="12" width="12.83203125" style="1" customWidth="1"/>
    <col min="13" max="13" width="153.83203125" style="1" bestFit="1" customWidth="1"/>
    <col min="14" max="14" width="38.6640625" style="1" customWidth="1"/>
    <col min="15" max="16384" width="38.6640625" style="1"/>
  </cols>
  <sheetData>
    <row r="1" spans="1:13" x14ac:dyDescent="0.2">
      <c r="A1" s="42"/>
      <c r="E1" s="27" t="s">
        <v>0</v>
      </c>
      <c r="G1" s="35"/>
      <c r="H1" s="27" t="s">
        <v>1</v>
      </c>
      <c r="J1" s="35"/>
      <c r="K1" s="46"/>
      <c r="L1" s="35"/>
    </row>
    <row r="2" spans="1:13" x14ac:dyDescent="0.2">
      <c r="A2" s="42" t="s">
        <v>2</v>
      </c>
      <c r="C2" s="10">
        <v>1</v>
      </c>
      <c r="E2" s="28">
        <f>F4+F11+F19+F22+F23+F20-F21</f>
        <v>417382.99219999998</v>
      </c>
      <c r="F2" s="29"/>
      <c r="G2" s="36"/>
      <c r="H2" s="28">
        <f>I4+I11+I19+I22+I23+I20-I21</f>
        <v>528529.57250000001</v>
      </c>
      <c r="I2" s="29"/>
      <c r="J2" s="36"/>
      <c r="K2" s="46"/>
      <c r="L2" s="35"/>
    </row>
    <row r="3" spans="1:13" x14ac:dyDescent="0.2">
      <c r="A3" s="43" t="s">
        <v>3</v>
      </c>
      <c r="B3" s="51" t="s">
        <v>135</v>
      </c>
      <c r="C3" s="16" t="s">
        <v>4</v>
      </c>
      <c r="D3" s="16" t="s">
        <v>5</v>
      </c>
      <c r="E3" s="30" t="s">
        <v>5</v>
      </c>
      <c r="F3" s="16" t="s">
        <v>130</v>
      </c>
      <c r="G3" s="37" t="s">
        <v>134</v>
      </c>
      <c r="H3" s="30" t="s">
        <v>5</v>
      </c>
      <c r="I3" s="16" t="s">
        <v>130</v>
      </c>
      <c r="J3" s="37" t="s">
        <v>7</v>
      </c>
      <c r="K3" s="30" t="s">
        <v>6</v>
      </c>
      <c r="L3" s="37" t="s">
        <v>7</v>
      </c>
      <c r="M3" s="11" t="s">
        <v>8</v>
      </c>
    </row>
    <row r="4" spans="1:13" ht="17" x14ac:dyDescent="0.2">
      <c r="A4" s="44" t="s">
        <v>143</v>
      </c>
      <c r="B4" s="52"/>
      <c r="C4" s="53">
        <v>0.3</v>
      </c>
      <c r="D4" s="24">
        <f>$G$42*C4</f>
        <v>283773.76941000001</v>
      </c>
      <c r="E4" s="31">
        <f>$E$2*C4</f>
        <v>125214.89765999999</v>
      </c>
      <c r="F4" s="24" cm="1">
        <f t="array" ref="F4">SUMPRODUCT(SUMIFS([1]PositionsHK!V:V,[1]PositionsHK!F:F,GlobalETF!A:A))</f>
        <v>97240.477199999994</v>
      </c>
      <c r="G4" s="38">
        <f>F4/E4</f>
        <v>0.77658872080892616</v>
      </c>
      <c r="H4" s="31">
        <f>$H$2*C4</f>
        <v>158558.87174999999</v>
      </c>
      <c r="I4" s="24" cm="1">
        <f t="array" ref="I4">SUMPRODUCT(SUMIFS([1]PositionsAL!V:V,[1]PositionsAL!F:F,GlobalETF!A:A))</f>
        <v>199446.71330000003</v>
      </c>
      <c r="J4" s="38">
        <f>I4/H4</f>
        <v>1.2578716731440165</v>
      </c>
      <c r="K4" s="47">
        <f t="shared" ref="K4:K23" si="0">F4+I4</f>
        <v>296687.19050000003</v>
      </c>
      <c r="L4" s="38">
        <f t="shared" ref="L4:L23" si="1">K4/D4</f>
        <v>1.045506042073052</v>
      </c>
      <c r="M4" s="15" t="s">
        <v>125</v>
      </c>
    </row>
    <row r="5" spans="1:13" x14ac:dyDescent="0.2">
      <c r="A5" s="45" t="s">
        <v>126</v>
      </c>
      <c r="B5" s="52" t="s">
        <v>12</v>
      </c>
      <c r="C5" s="54">
        <v>0.1</v>
      </c>
      <c r="D5" s="25">
        <f>$D$4*C5</f>
        <v>28377.376941000002</v>
      </c>
      <c r="E5" s="32">
        <f>$E$4*C5</f>
        <v>12521.489765999999</v>
      </c>
      <c r="F5" s="25">
        <f>SUMIFS([1]PositionsHK!V:V,[1]PositionsHK!F:F,"82846")</f>
        <v>9192.3216000000011</v>
      </c>
      <c r="G5" s="39">
        <f>F5/E5</f>
        <v>0.73412363638711786</v>
      </c>
      <c r="H5" s="32">
        <f>$H$4*C5</f>
        <v>15855.887175</v>
      </c>
      <c r="I5" s="25">
        <f>SUMIFS([1]PositionsAL!V:V,[1]PositionsAL!F:F,"82846")</f>
        <v>9192.3216000000011</v>
      </c>
      <c r="J5" s="39">
        <f>I5/H5</f>
        <v>0.57974186486982249</v>
      </c>
      <c r="K5" s="48">
        <f t="shared" ref="K5:K7" si="2">F5+I5</f>
        <v>18384.643200000002</v>
      </c>
      <c r="L5" s="39">
        <f t="shared" ref="L5:L7" si="3">K5/D5</f>
        <v>0.64786267026102862</v>
      </c>
      <c r="M5" s="12"/>
    </row>
    <row r="6" spans="1:13" x14ac:dyDescent="0.2">
      <c r="A6" s="45" t="s">
        <v>127</v>
      </c>
      <c r="B6" s="52" t="s">
        <v>14</v>
      </c>
      <c r="C6" s="54">
        <v>0.2</v>
      </c>
      <c r="D6" s="25">
        <f t="shared" ref="D6:D10" si="4">$D$4*C6</f>
        <v>56754.753882000005</v>
      </c>
      <c r="E6" s="32">
        <f t="shared" ref="E6:E10" si="5">$E$4*C6</f>
        <v>25042.979531999998</v>
      </c>
      <c r="F6" s="25">
        <f>SUMIFS([1]PositionsHK!V:V,[1]PositionsHK!F:F,"DHL")</f>
        <v>0</v>
      </c>
      <c r="G6" s="39">
        <f t="shared" ref="G6:G7" si="6">F6/E6</f>
        <v>0</v>
      </c>
      <c r="H6" s="32">
        <f t="shared" ref="H6:H10" si="7">$H$4*C6</f>
        <v>31711.77435</v>
      </c>
      <c r="I6" s="25">
        <f>SUMIFS([1]PositionsAL!V:V,[1]PositionsAL!F:F,"DHL")</f>
        <v>56120.048000000003</v>
      </c>
      <c r="J6" s="39">
        <f t="shared" ref="J6:J7" si="8">I6/H6</f>
        <v>1.7696911998870857</v>
      </c>
      <c r="K6" s="48">
        <f t="shared" si="2"/>
        <v>56120.048000000003</v>
      </c>
      <c r="L6" s="39">
        <f t="shared" si="3"/>
        <v>0.98881669219604695</v>
      </c>
      <c r="M6" s="12"/>
    </row>
    <row r="7" spans="1:13" x14ac:dyDescent="0.2">
      <c r="A7" s="45" t="s">
        <v>128</v>
      </c>
      <c r="B7" s="52" t="s">
        <v>16</v>
      </c>
      <c r="C7" s="54">
        <v>0.2</v>
      </c>
      <c r="D7" s="25">
        <f t="shared" si="4"/>
        <v>56754.753882000005</v>
      </c>
      <c r="E7" s="32">
        <f t="shared" si="5"/>
        <v>25042.979531999998</v>
      </c>
      <c r="F7" s="25">
        <f>SUMIFS([1]PositionsHK!V:V,[1]PositionsHK!F:F,"ES3")</f>
        <v>19845.627899999999</v>
      </c>
      <c r="G7" s="39">
        <f t="shared" si="6"/>
        <v>0.79246272891135794</v>
      </c>
      <c r="H7" s="32">
        <f t="shared" si="7"/>
        <v>31711.77435</v>
      </c>
      <c r="I7" s="25">
        <f>SUMIFS([1]PositionsAL!V:V,[1]PositionsAL!F:F,"ES3")</f>
        <v>39691.255799999999</v>
      </c>
      <c r="J7" s="39">
        <f t="shared" si="8"/>
        <v>1.2516251964311798</v>
      </c>
      <c r="K7" s="48">
        <f t="shared" si="2"/>
        <v>59536.883699999998</v>
      </c>
      <c r="L7" s="39">
        <f t="shared" si="3"/>
        <v>1.0490202076073554</v>
      </c>
      <c r="M7" s="12"/>
    </row>
    <row r="8" spans="1:13" x14ac:dyDescent="0.2">
      <c r="A8" s="45" t="s">
        <v>129</v>
      </c>
      <c r="B8" s="52" t="s">
        <v>18</v>
      </c>
      <c r="C8" s="54">
        <v>0.25</v>
      </c>
      <c r="D8" s="25">
        <f t="shared" si="4"/>
        <v>70943.442352500002</v>
      </c>
      <c r="E8" s="32">
        <f t="shared" si="5"/>
        <v>31303.724414999997</v>
      </c>
      <c r="F8" s="25">
        <f>SUMIFS([1]PositionsHK!V:V,[1]PositionsHK!F:F,"VWRA")</f>
        <v>34908</v>
      </c>
      <c r="G8" s="39">
        <f>F8/E8</f>
        <v>1.1151388741230075</v>
      </c>
      <c r="H8" s="32">
        <f t="shared" si="7"/>
        <v>39639.717937499998</v>
      </c>
      <c r="I8" s="25">
        <f>SUMIFS([1]PositionsAL!V:V,[1]PositionsAL!F:F,"VWRA")</f>
        <v>52362</v>
      </c>
      <c r="J8" s="39">
        <f>I8/H8</f>
        <v>1.3209478453544812</v>
      </c>
      <c r="K8" s="48">
        <f>F8+I8</f>
        <v>87270</v>
      </c>
      <c r="L8" s="39">
        <f>K8/D8</f>
        <v>1.2301348384869382</v>
      </c>
      <c r="M8" s="12"/>
    </row>
    <row r="9" spans="1:13" x14ac:dyDescent="0.2">
      <c r="A9" s="45" t="s">
        <v>136</v>
      </c>
      <c r="B9" s="52" t="s">
        <v>138</v>
      </c>
      <c r="C9" s="54">
        <v>0.15</v>
      </c>
      <c r="D9" s="25">
        <f t="shared" ref="D9" si="9">$D$4*C9</f>
        <v>42566.0654115</v>
      </c>
      <c r="E9" s="32">
        <f t="shared" ref="E9" si="10">$E$4*C9</f>
        <v>18782.234648999998</v>
      </c>
      <c r="F9" s="25">
        <f>SUMIFS([1]PositionsHK!V:V,[1]PositionsHK!F:F,"WORLD")</f>
        <v>20804.541300000001</v>
      </c>
      <c r="G9" s="39">
        <f>F9/E9</f>
        <v>1.1076712483254847</v>
      </c>
      <c r="H9" s="32">
        <f t="shared" ref="H9" si="11">$H$4*C9</f>
        <v>23783.830762499998</v>
      </c>
      <c r="I9" s="25">
        <f>SUMIFS([1]PositionsAL!V:V,[1]PositionsAL!F:F,"WORLD")</f>
        <v>25427.772700000001</v>
      </c>
      <c r="J9" s="39">
        <f>I9/H9</f>
        <v>1.0691201494795368</v>
      </c>
      <c r="K9" s="48">
        <f>F9+I9</f>
        <v>46232.313999999998</v>
      </c>
      <c r="L9" s="39">
        <f>K9/D9</f>
        <v>1.0861307840660672</v>
      </c>
      <c r="M9" s="12"/>
    </row>
    <row r="10" spans="1:13" x14ac:dyDescent="0.2">
      <c r="A10" s="45" t="s">
        <v>137</v>
      </c>
      <c r="B10" s="52" t="s">
        <v>138</v>
      </c>
      <c r="C10" s="54">
        <v>0.1</v>
      </c>
      <c r="D10" s="25">
        <f t="shared" si="4"/>
        <v>28377.376941000002</v>
      </c>
      <c r="E10" s="32">
        <f t="shared" si="5"/>
        <v>12521.489765999999</v>
      </c>
      <c r="F10" s="25">
        <f>SUMIFS([1]PositionsHK!V:V,[1]PositionsHK!F:F,"XMME")</f>
        <v>12489.9864</v>
      </c>
      <c r="G10" s="39">
        <f>F10/E10</f>
        <v>0.99748405608368251</v>
      </c>
      <c r="H10" s="32">
        <f t="shared" si="7"/>
        <v>15855.887175</v>
      </c>
      <c r="I10" s="25">
        <f>SUMIFS([1]PositionsAL!V:V,[1]PositionsAL!F:F,"XMME")</f>
        <v>16653.315200000001</v>
      </c>
      <c r="J10" s="39">
        <f>I10/H10</f>
        <v>1.0502922363283025</v>
      </c>
      <c r="K10" s="48">
        <f>F10+I10</f>
        <v>29143.301599999999</v>
      </c>
      <c r="L10" s="39">
        <f>K10/D10</f>
        <v>1.0269906785462393</v>
      </c>
      <c r="M10" s="12"/>
    </row>
    <row r="11" spans="1:13" x14ac:dyDescent="0.2">
      <c r="A11" s="44" t="s">
        <v>144</v>
      </c>
      <c r="B11" s="52"/>
      <c r="C11" s="53">
        <v>0.3</v>
      </c>
      <c r="D11" s="24">
        <f>$G$42*C11</f>
        <v>283773.76941000001</v>
      </c>
      <c r="E11" s="31">
        <f>$E$2*C11</f>
        <v>125214.89765999999</v>
      </c>
      <c r="F11" s="24">
        <f>F12+F13+F15+F18+F16</f>
        <v>73102.326799999995</v>
      </c>
      <c r="G11" s="38">
        <f>F11/E11</f>
        <v>0.58381493070015578</v>
      </c>
      <c r="H11" s="31">
        <f>$H$2*C11</f>
        <v>158558.87174999999</v>
      </c>
      <c r="I11" s="24">
        <f>I12+I13+I15+I18+I16</f>
        <v>85799.421000000002</v>
      </c>
      <c r="J11" s="38">
        <f>I11/H11</f>
        <v>0.5411202795090525</v>
      </c>
      <c r="K11" s="47">
        <f>F11+I11</f>
        <v>158901.74780000001</v>
      </c>
      <c r="L11" s="39">
        <f>K11/D11</f>
        <v>0.55995925250729117</v>
      </c>
    </row>
    <row r="12" spans="1:13" x14ac:dyDescent="0.2">
      <c r="A12" s="45" t="s">
        <v>139</v>
      </c>
      <c r="B12" s="52" t="s">
        <v>18</v>
      </c>
      <c r="C12" s="54">
        <v>0.25</v>
      </c>
      <c r="D12" s="25">
        <f t="shared" ref="D12:D18" si="12">$D$11*C12</f>
        <v>70943.442352500002</v>
      </c>
      <c r="E12" s="32">
        <f t="shared" ref="E12:E18" si="13">$E$11*C12</f>
        <v>31303.724414999997</v>
      </c>
      <c r="F12" s="25">
        <f>SUMIFS([1]PositionsHK!V:V,[1]PositionsHK!F:F,"CSNDX")</f>
        <v>21996</v>
      </c>
      <c r="G12" s="39">
        <f>F12/E12</f>
        <v>0.70266399321673179</v>
      </c>
      <c r="H12" s="32">
        <f t="shared" ref="H12:H18" si="14">$H$11*C12</f>
        <v>39639.717937499998</v>
      </c>
      <c r="I12" s="25">
        <f>SUMIFS([1]PositionsAL!V:V,[1]PositionsAL!F:F,"CSNDX")</f>
        <v>29328</v>
      </c>
      <c r="J12" s="39">
        <f>I12/H12</f>
        <v>0.73986399313540785</v>
      </c>
      <c r="K12" s="48">
        <f t="shared" si="0"/>
        <v>51324</v>
      </c>
      <c r="L12" s="39">
        <f t="shared" si="1"/>
        <v>0.72344952962648812</v>
      </c>
      <c r="M12" s="12"/>
    </row>
    <row r="13" spans="1:13" x14ac:dyDescent="0.2">
      <c r="A13" s="45" t="s">
        <v>140</v>
      </c>
      <c r="B13" s="52" t="s">
        <v>138</v>
      </c>
      <c r="C13" s="54">
        <v>0.25</v>
      </c>
      <c r="D13" s="25">
        <f t="shared" si="12"/>
        <v>70943.442352500002</v>
      </c>
      <c r="E13" s="32">
        <f t="shared" si="13"/>
        <v>31303.724414999997</v>
      </c>
      <c r="F13" s="25">
        <f>SUMIFS([1]PositionsHK!V:V,[1]PositionsHK!F:F,"EQCH")</f>
        <v>21460.376799999998</v>
      </c>
      <c r="G13" s="39">
        <f t="shared" ref="G13:G18" si="15">F13/E13</f>
        <v>0.6855534669132437</v>
      </c>
      <c r="H13" s="32">
        <f t="shared" si="14"/>
        <v>39639.717937499998</v>
      </c>
      <c r="I13" s="25">
        <f>SUMIFS([1]PositionsAL!V:V,[1]PositionsAL!F:F,"EQCH")</f>
        <v>26825.471000000001</v>
      </c>
      <c r="J13" s="39">
        <f t="shared" ref="J13:J18" si="16">I13/H13</f>
        <v>0.67673213624516104</v>
      </c>
      <c r="K13" s="48">
        <f t="shared" si="0"/>
        <v>48285.847800000003</v>
      </c>
      <c r="L13" s="39">
        <f t="shared" si="1"/>
        <v>0.68062453975773896</v>
      </c>
      <c r="M13" s="12"/>
    </row>
    <row r="14" spans="1:13" x14ac:dyDescent="0.2">
      <c r="A14" s="45" t="s">
        <v>142</v>
      </c>
      <c r="B14" s="52" t="s">
        <v>138</v>
      </c>
      <c r="C14" s="54">
        <v>0.2</v>
      </c>
      <c r="D14" s="25">
        <f t="shared" si="12"/>
        <v>56754.753882000005</v>
      </c>
      <c r="E14" s="32">
        <f t="shared" ref="E14" si="17">$E$11*C14</f>
        <v>25042.979531999998</v>
      </c>
      <c r="F14" s="25">
        <f>SUMIFS([1]PositionsHK!V:V,[1]PositionsHK!F:F,"CBUK")</f>
        <v>21933.266199999998</v>
      </c>
      <c r="G14" s="39">
        <f t="shared" ref="G14" si="18">F14/E14</f>
        <v>0.87582494614802531</v>
      </c>
      <c r="H14" s="32">
        <f t="shared" ref="H14" si="19">$H$11*C14</f>
        <v>31711.77435</v>
      </c>
      <c r="I14" s="25">
        <f>SUMIFS([1]PositionsAL!V:V,[1]PositionsAL!F:F,"CBUK")</f>
        <v>21933.266199999998</v>
      </c>
      <c r="J14" s="39">
        <f t="shared" ref="J14" si="20">I14/H14</f>
        <v>0.69164424411969239</v>
      </c>
      <c r="K14" s="48">
        <f t="shared" ref="K14" si="21">F14+I14</f>
        <v>43866.532399999996</v>
      </c>
      <c r="L14" s="39">
        <f t="shared" ref="L14" si="22">K14/D14</f>
        <v>0.7729137983965858</v>
      </c>
      <c r="M14" s="12"/>
    </row>
    <row r="15" spans="1:13" x14ac:dyDescent="0.2">
      <c r="A15" s="45" t="s">
        <v>124</v>
      </c>
      <c r="B15" s="52" t="s">
        <v>18</v>
      </c>
      <c r="C15" s="54">
        <v>7.4999999999999997E-2</v>
      </c>
      <c r="D15" s="25">
        <f t="shared" si="12"/>
        <v>21283.03270575</v>
      </c>
      <c r="E15" s="32">
        <f t="shared" si="13"/>
        <v>9391.1173244999991</v>
      </c>
      <c r="F15" s="25">
        <f>SUMIFS([1]PositionsHK!V:V,[1]PositionsHK!F:F,"HEAL")</f>
        <v>9372.5</v>
      </c>
      <c r="G15" s="39">
        <f t="shared" si="15"/>
        <v>0.99801756022668042</v>
      </c>
      <c r="H15" s="32">
        <f t="shared" si="14"/>
        <v>11891.915381249999</v>
      </c>
      <c r="I15" s="25">
        <f>SUMIFS([1]PositionsAL!V:V,[1]PositionsAL!F:F,"HEAL")</f>
        <v>9372.5</v>
      </c>
      <c r="J15" s="39">
        <f t="shared" si="16"/>
        <v>0.78814048868676234</v>
      </c>
      <c r="K15" s="48">
        <f t="shared" si="0"/>
        <v>18745</v>
      </c>
      <c r="L15" s="39">
        <f t="shared" si="1"/>
        <v>0.88074854082875587</v>
      </c>
      <c r="M15" s="12"/>
    </row>
    <row r="16" spans="1:13" x14ac:dyDescent="0.2">
      <c r="A16" s="45" t="s">
        <v>10</v>
      </c>
      <c r="B16" s="52" t="s">
        <v>18</v>
      </c>
      <c r="C16" s="54">
        <v>7.4999999999999997E-2</v>
      </c>
      <c r="D16" s="25">
        <f t="shared" si="12"/>
        <v>21283.03270575</v>
      </c>
      <c r="E16" s="32">
        <f>$E$11*C16</f>
        <v>9391.1173244999991</v>
      </c>
      <c r="F16" s="25">
        <f>SUMIFS([1]PositionsHK!V:V,[1]PositionsHK!F:F,"INRA")</f>
        <v>10423.450000000001</v>
      </c>
      <c r="G16" s="39">
        <f>F16/E16</f>
        <v>1.1099265018025919</v>
      </c>
      <c r="H16" s="32">
        <f>$H$11*C16</f>
        <v>11891.915381249999</v>
      </c>
      <c r="I16" s="25">
        <f>SUMIFS([1]PositionsAL!V:V,[1]PositionsAL!F:F,"INRA")</f>
        <v>10423.450000000001</v>
      </c>
      <c r="J16" s="39">
        <f>I16/H16</f>
        <v>0.87651565503355922</v>
      </c>
      <c r="K16" s="48">
        <f>F16+I16</f>
        <v>20846.900000000001</v>
      </c>
      <c r="L16" s="39">
        <f>K16/D16</f>
        <v>0.97950796243280835</v>
      </c>
      <c r="M16" s="12"/>
    </row>
    <row r="17" spans="1:13" x14ac:dyDescent="0.2">
      <c r="A17" s="45" t="s">
        <v>141</v>
      </c>
      <c r="B17" s="52" t="s">
        <v>18</v>
      </c>
      <c r="C17" s="54">
        <v>7.4999999999999997E-2</v>
      </c>
      <c r="D17" s="25">
        <f t="shared" si="12"/>
        <v>21283.03270575</v>
      </c>
      <c r="E17" s="32">
        <f>$E$11*C17</f>
        <v>9391.1173244999991</v>
      </c>
      <c r="F17" s="25">
        <f>SUMIFS([1]PositionsHK!V:V,[1]PositionsHK!F:F,"GRID")</f>
        <v>0</v>
      </c>
      <c r="G17" s="39">
        <f>F17/E17</f>
        <v>0</v>
      </c>
      <c r="H17" s="32">
        <f>$H$11*C17</f>
        <v>11891.915381249999</v>
      </c>
      <c r="I17" s="25">
        <f>SUMIFS([1]PositionsAL!V:V,[1]PositionsAL!F:F,"GRID")</f>
        <v>0</v>
      </c>
      <c r="J17" s="39">
        <f>I17/H17</f>
        <v>0</v>
      </c>
      <c r="K17" s="48">
        <f>F17+I17</f>
        <v>0</v>
      </c>
      <c r="L17" s="39">
        <f>K17/D17</f>
        <v>0</v>
      </c>
      <c r="M17" s="12"/>
    </row>
    <row r="18" spans="1:13" x14ac:dyDescent="0.2">
      <c r="A18" s="45" t="s">
        <v>9</v>
      </c>
      <c r="B18" s="52" t="s">
        <v>18</v>
      </c>
      <c r="C18" s="54">
        <v>7.4999999999999997E-2</v>
      </c>
      <c r="D18" s="25">
        <f t="shared" si="12"/>
        <v>21283.03270575</v>
      </c>
      <c r="E18" s="32">
        <f t="shared" si="13"/>
        <v>9391.1173244999991</v>
      </c>
      <c r="F18" s="25">
        <f>SUMIFS([1]PositionsHK!V:V,[1]PositionsHK!F:F,"LOCK")</f>
        <v>9850</v>
      </c>
      <c r="G18" s="39">
        <f t="shared" si="15"/>
        <v>1.0488634802062207</v>
      </c>
      <c r="H18" s="32">
        <f t="shared" si="14"/>
        <v>11891.915381249999</v>
      </c>
      <c r="I18" s="25">
        <f>SUMIFS([1]PositionsAL!V:V,[1]PositionsAL!F:F,"LOCK")</f>
        <v>9850</v>
      </c>
      <c r="J18" s="39">
        <f t="shared" si="16"/>
        <v>0.82829381846514905</v>
      </c>
      <c r="K18" s="48">
        <f t="shared" si="0"/>
        <v>19700</v>
      </c>
      <c r="L18" s="39">
        <f t="shared" si="1"/>
        <v>0.92561996555489412</v>
      </c>
      <c r="M18" s="12"/>
    </row>
    <row r="19" spans="1:13" x14ac:dyDescent="0.2">
      <c r="A19" s="44" t="s">
        <v>145</v>
      </c>
      <c r="B19" s="52" t="s">
        <v>18</v>
      </c>
      <c r="C19" s="53">
        <v>0.25</v>
      </c>
      <c r="D19" s="24">
        <f>$G$42*C19</f>
        <v>236478.141175</v>
      </c>
      <c r="E19" s="31">
        <f>$E$2*C19</f>
        <v>104345.74804999999</v>
      </c>
      <c r="F19" s="24" cm="1">
        <f t="array" ref="F19">SUMPRODUCT(SUMIFS([1]PositionsHK!V:V,[1]PositionsHK!F:F,IncomeStrategy!A:A))</f>
        <v>89228</v>
      </c>
      <c r="G19" s="38">
        <f>F19/E19</f>
        <v>0.85511869594575207</v>
      </c>
      <c r="H19" s="31">
        <f>$H$2*C19</f>
        <v>132132.393125</v>
      </c>
      <c r="I19" s="24" cm="1">
        <f t="array" ref="I19">SUMPRODUCT(SUMIFS([1]PositionsAL!V:V,[1]PositionsAL!F:F,IncomeStrategy!A:A))</f>
        <v>64467</v>
      </c>
      <c r="J19" s="38">
        <f t="shared" ref="J19:J23" si="23">I19/H19</f>
        <v>0.48789701355830944</v>
      </c>
      <c r="K19" s="47">
        <f t="shared" si="0"/>
        <v>153695</v>
      </c>
      <c r="L19" s="38">
        <f t="shared" si="1"/>
        <v>0.64993322104245432</v>
      </c>
    </row>
    <row r="20" spans="1:13" x14ac:dyDescent="0.2">
      <c r="A20" s="44" t="s">
        <v>146</v>
      </c>
      <c r="B20" s="52" t="s">
        <v>18</v>
      </c>
      <c r="C20" s="55">
        <v>2.5000000000000001E-2</v>
      </c>
      <c r="D20" s="26">
        <f>$G$42*C20</f>
        <v>23647.814117500002</v>
      </c>
      <c r="E20" s="33">
        <f>$E$2*C20</f>
        <v>10434.574805</v>
      </c>
      <c r="F20" s="26" cm="1">
        <f t="array" ref="F20">SUMIFS([1]PositionsHK!V:V,[1]PositionsHK!D:D,"STK")-SUMPRODUCT(SUMIFS([1]PositionsHK!V:V,[1]PositionsHK!D:D,"STK",[1]PositionsHK!F:F,GlobalETF!A:A))-SUMPRODUCT(SUMIFS([1]PositionsHK!V:V,[1]PositionsHK!D:D,"STK",[1]PositionsHK!F:F,GrowthEngine!A:A))-SUMPRODUCT(SUMIFS([1]PositionsHK!V:V,[1]PositionsHK!D:D,"STK",[1]PositionsHK!F:F,IncomeStrategy!A:A))-SUMPRODUCT(SUMIFS([1]PositionsHK!V:V,[1]PositionsHK!D:D,"STK",[1]PositionsHK!F:F,Gold!A:A))</f>
        <v>7890.0000000000255</v>
      </c>
      <c r="G20" s="38">
        <f t="shared" ref="G20:G21" si="24">F20/E20</f>
        <v>0.75614005816694374</v>
      </c>
      <c r="H20" s="33">
        <f>$H$2*C20</f>
        <v>13213.239312500002</v>
      </c>
      <c r="I20" s="26" cm="1">
        <f t="array" ref="I20">SUMIFS([1]PositionsAL!V:V,[1]PositionsAL!D:D,"STK")-SUMPRODUCT(SUMIFS([1]PositionsAL!V:V,[1]PositionsAL!D:D,"STK",[1]PositionsAL!F:F,GlobalETF!A:A))-SUMPRODUCT(SUMIFS([1]PositionsAL!V:V,[1]PositionsAL!D:D,"STK",[1]PositionsAL!F:F,GrowthEngine!A:A))-SUMPRODUCT(SUMIFS([1]PositionsAL!V:V,[1]PositionsAL!D:D,"STK",[1]PositionsAL!F:F,IncomeStrategy!A:A))-SUMPRODUCT(SUMIFS([1]PositionsAL!V:V,[1]PositionsAL!D:D,"STK",[1]PositionsAL!F:F,Gold!A:A))</f>
        <v>3606.4799999999341</v>
      </c>
      <c r="J20" s="40">
        <f>I20/H20</f>
        <v>0.27294442450521034</v>
      </c>
      <c r="K20" s="49">
        <f t="shared" si="0"/>
        <v>11496.47999999996</v>
      </c>
      <c r="L20" s="40">
        <f t="shared" si="1"/>
        <v>0.48615402433716964</v>
      </c>
      <c r="M20" s="13"/>
    </row>
    <row r="21" spans="1:13" x14ac:dyDescent="0.2">
      <c r="A21" s="44" t="s">
        <v>147</v>
      </c>
      <c r="B21" s="52" t="s">
        <v>18</v>
      </c>
      <c r="C21" s="55">
        <v>2.5000000000000001E-2</v>
      </c>
      <c r="D21" s="26">
        <f>$G$42*C21</f>
        <v>23647.814117500002</v>
      </c>
      <c r="E21" s="33">
        <f>$E$2*C21</f>
        <v>10434.574805</v>
      </c>
      <c r="F21" s="26">
        <f>SUMIFS([1]PositionsHK!V:V,[1]PositionsHK!D:D,"OPT",[1]PositionsHK!T:T,"Long")+SUMIFS([1]PositionsHK!V:V,[1]PositionsHK!D:D,"FOP",[1]PositionsHK!T:T,"Long")</f>
        <v>9801.7200000000012</v>
      </c>
      <c r="G21" s="38">
        <f t="shared" si="24"/>
        <v>0.93935020670926139</v>
      </c>
      <c r="H21" s="33">
        <f>H2*C21</f>
        <v>13213.239312500002</v>
      </c>
      <c r="I21" s="26">
        <f>SUMIFS([1]PositionsAL!V:V,[1]PositionsAL!D:D,"OPT",[1]PositionsAL!T:T,"Long")+SUMIFS([1]PositionsAL!V:V,[1]PositionsAL!D:D,"FOP",[1]PositionsAL!T:T,"Long")</f>
        <v>8931.7200000000012</v>
      </c>
      <c r="J21" s="40">
        <f>I21/H21</f>
        <v>0.67596747389191736</v>
      </c>
      <c r="K21" s="49">
        <f t="shared" si="0"/>
        <v>18733.440000000002</v>
      </c>
      <c r="L21" s="40">
        <f t="shared" si="1"/>
        <v>0.79218484663818323</v>
      </c>
      <c r="M21" s="13"/>
    </row>
    <row r="22" spans="1:13" x14ac:dyDescent="0.2">
      <c r="A22" s="44" t="s">
        <v>148</v>
      </c>
      <c r="B22" s="52" t="s">
        <v>16</v>
      </c>
      <c r="C22" s="53">
        <v>0.05</v>
      </c>
      <c r="D22" s="24">
        <f>$G$42*C22</f>
        <v>47295.628235000004</v>
      </c>
      <c r="E22" s="31">
        <f>$E$2*C22</f>
        <v>20869.14961</v>
      </c>
      <c r="F22" s="24">
        <f>SUMIFS([1]PositionsHK!V:V,[1]PositionsHK!F:F,"GSD")</f>
        <v>25314.1482</v>
      </c>
      <c r="G22" s="38">
        <f t="shared" ref="G22:G23" si="25">F22/H22</f>
        <v>0.95790848864942169</v>
      </c>
      <c r="H22" s="31">
        <f>$H$2*C22</f>
        <v>26426.478625000003</v>
      </c>
      <c r="I22" s="24">
        <f>SUMIFS([1]PositionsAL!V:V,[1]PositionsAL!F:F,"GSD")</f>
        <v>25314.1482</v>
      </c>
      <c r="J22" s="38">
        <f t="shared" si="23"/>
        <v>0.95790848864942169</v>
      </c>
      <c r="K22" s="47">
        <f t="shared" si="0"/>
        <v>50628.296399999999</v>
      </c>
      <c r="L22" s="38">
        <f t="shared" si="1"/>
        <v>1.0704646135249714</v>
      </c>
    </row>
    <row r="23" spans="1:13" x14ac:dyDescent="0.2">
      <c r="A23" s="43" t="s">
        <v>149</v>
      </c>
      <c r="B23" s="52" t="s">
        <v>18</v>
      </c>
      <c r="C23" s="53">
        <v>0.05</v>
      </c>
      <c r="D23" s="24">
        <f>$G$42*C23</f>
        <v>47295.628235000004</v>
      </c>
      <c r="E23" s="34">
        <f>$E$2*C23</f>
        <v>20869.14961</v>
      </c>
      <c r="F23" s="56" t="str">
        <f>[1]Summary!$C$2</f>
        <v>$134,409.76</v>
      </c>
      <c r="G23" s="41">
        <f t="shared" si="25"/>
        <v>5.0861774626622234</v>
      </c>
      <c r="H23" s="34">
        <f>$H$2*C23</f>
        <v>26426.478625000003</v>
      </c>
      <c r="I23" s="56" t="str">
        <f>[1]Summary!$C$3</f>
        <v>$158,827.53</v>
      </c>
      <c r="J23" s="41">
        <f t="shared" si="23"/>
        <v>6.0101662523339687</v>
      </c>
      <c r="K23" s="50">
        <f t="shared" si="0"/>
        <v>293237.29000000004</v>
      </c>
      <c r="L23" s="41">
        <f t="shared" si="1"/>
        <v>6.2000929249312042</v>
      </c>
    </row>
    <row r="24" spans="1:13" x14ac:dyDescent="0.2">
      <c r="A24" s="7"/>
      <c r="B24" s="7"/>
      <c r="C24" s="8">
        <f>C4+C11+C19+C20+C21+C22+C23</f>
        <v>1</v>
      </c>
      <c r="D24" s="7"/>
      <c r="E24" s="7"/>
      <c r="F24" s="9"/>
      <c r="G24" s="9"/>
      <c r="H24" s="9"/>
      <c r="I24" s="9"/>
      <c r="J24" s="7"/>
      <c r="K24" s="7"/>
      <c r="L24" s="7"/>
    </row>
    <row r="25" spans="1:13" x14ac:dyDescent="0.2">
      <c r="F25" s="4"/>
      <c r="I25" s="4"/>
    </row>
    <row r="26" spans="1:13" x14ac:dyDescent="0.2">
      <c r="A26" s="14"/>
      <c r="B26" s="14"/>
    </row>
    <row r="41" spans="7:8" x14ac:dyDescent="0.2">
      <c r="G41" s="18" t="s">
        <v>131</v>
      </c>
      <c r="H41" s="17"/>
    </row>
    <row r="42" spans="7:8" x14ac:dyDescent="0.2">
      <c r="G42" s="22">
        <f>E2+H2</f>
        <v>945912.56469999999</v>
      </c>
      <c r="H42" s="17"/>
    </row>
    <row r="43" spans="7:8" x14ac:dyDescent="0.2">
      <c r="G43" s="18" t="s">
        <v>132</v>
      </c>
      <c r="H43" s="23">
        <f>G44/G42</f>
        <v>0.68999535375343979</v>
      </c>
    </row>
    <row r="44" spans="7:8" x14ac:dyDescent="0.2">
      <c r="G44" s="22">
        <f>G42-G46</f>
        <v>652675.27469999995</v>
      </c>
      <c r="H44" s="17"/>
    </row>
    <row r="45" spans="7:8" x14ac:dyDescent="0.2">
      <c r="G45" s="18" t="s">
        <v>133</v>
      </c>
      <c r="H45" s="23">
        <f>G46/G42</f>
        <v>0.31000464624656027</v>
      </c>
    </row>
    <row r="46" spans="7:8" x14ac:dyDescent="0.2">
      <c r="G46" s="22">
        <f>F23+I23</f>
        <v>293237.29000000004</v>
      </c>
      <c r="H46" s="17"/>
    </row>
    <row r="51" spans="1:6" x14ac:dyDescent="0.2">
      <c r="A51" s="17"/>
      <c r="B51" s="17" t="s">
        <v>5</v>
      </c>
      <c r="C51" s="17" t="s">
        <v>130</v>
      </c>
      <c r="E51" s="21"/>
      <c r="F51" s="21"/>
    </row>
    <row r="52" spans="1:6" x14ac:dyDescent="0.2">
      <c r="A52" s="18" t="str">
        <f>A4</f>
        <v>Global Triads (the strategic core)</v>
      </c>
      <c r="B52" s="19">
        <f>D4</f>
        <v>283773.76941000001</v>
      </c>
      <c r="C52" s="20">
        <f>K4</f>
        <v>296687.19050000003</v>
      </c>
      <c r="E52" s="21"/>
      <c r="F52" s="21"/>
    </row>
    <row r="53" spans="1:6" x14ac:dyDescent="0.2">
      <c r="A53" s="18" t="str">
        <f>A11</f>
        <v>Four Horsemen (growth engine)</v>
      </c>
      <c r="B53" s="19">
        <f>D11</f>
        <v>283773.76941000001</v>
      </c>
      <c r="C53" s="20">
        <f>K11</f>
        <v>158901.74780000001</v>
      </c>
      <c r="E53" s="21"/>
      <c r="F53" s="21"/>
    </row>
    <row r="54" spans="1:6" x14ac:dyDescent="0.2">
      <c r="A54" s="18" t="str">
        <f>A19</f>
        <v>Cash Cow (income Strategy)</v>
      </c>
      <c r="B54" s="19">
        <f>D19</f>
        <v>236478.141175</v>
      </c>
      <c r="C54" s="20">
        <f>K19</f>
        <v>153695</v>
      </c>
      <c r="E54" s="21"/>
      <c r="F54" s="21"/>
    </row>
    <row r="55" spans="1:6" x14ac:dyDescent="0.2">
      <c r="A55" s="18" t="str">
        <f>A20</f>
        <v>The Alpha (theme, buy calls)</v>
      </c>
      <c r="B55" s="19">
        <f>D20</f>
        <v>23647.814117500002</v>
      </c>
      <c r="C55" s="20">
        <f>K20</f>
        <v>11496.47999999996</v>
      </c>
      <c r="E55" s="21"/>
      <c r="F55" s="21"/>
    </row>
    <row r="56" spans="1:6" x14ac:dyDescent="0.2">
      <c r="A56" s="18" t="str">
        <f>A21</f>
        <v>The Omega (insurance, bear spreads)</v>
      </c>
      <c r="B56" s="19">
        <f>D21</f>
        <v>23647.814117500002</v>
      </c>
      <c r="C56" s="20">
        <f>K21</f>
        <v>18733.440000000002</v>
      </c>
      <c r="E56" s="21"/>
      <c r="F56" s="21"/>
    </row>
    <row r="57" spans="1:6" x14ac:dyDescent="0.2">
      <c r="A57" s="18" t="str">
        <f>A22</f>
        <v>The Vault (Gold)</v>
      </c>
      <c r="B57" s="19">
        <f>D22</f>
        <v>47295.628235000004</v>
      </c>
      <c r="C57" s="20">
        <f>K22</f>
        <v>50628.296399999999</v>
      </c>
      <c r="E57" s="21"/>
      <c r="F57" s="21"/>
    </row>
    <row r="58" spans="1:6" x14ac:dyDescent="0.2">
      <c r="A58" s="18" t="str">
        <f>A23</f>
        <v>The War Chest (Cash)</v>
      </c>
      <c r="B58" s="19">
        <f>D23</f>
        <v>47295.628235000004</v>
      </c>
      <c r="C58" s="20">
        <f>K23</f>
        <v>293237.29000000004</v>
      </c>
      <c r="E58" s="21"/>
      <c r="F58" s="21"/>
    </row>
  </sheetData>
  <conditionalFormatting sqref="G4:G23 L16:L23">
    <cfRule type="expression" dxfId="31" priority="151">
      <formula>AND(G4&gt;=50%, G4&lt;80%)</formula>
    </cfRule>
    <cfRule type="expression" dxfId="30" priority="152">
      <formula>AND(G4&gt;=80%, G4&lt;=120%)</formula>
    </cfRule>
  </conditionalFormatting>
  <conditionalFormatting sqref="J4:J10">
    <cfRule type="expression" dxfId="29" priority="85">
      <formula>AND(J4&gt;=120%)</formula>
    </cfRule>
    <cfRule type="expression" dxfId="28" priority="86">
      <formula>AND(J4&lt;50%)</formula>
    </cfRule>
    <cfRule type="expression" dxfId="27" priority="87">
      <formula>AND(J4&gt;=50%, J4&lt;80%)</formula>
    </cfRule>
    <cfRule type="expression" dxfId="26" priority="88">
      <formula>AND(J4&gt;=80%, J4&lt;=120%)</formula>
    </cfRule>
  </conditionalFormatting>
  <conditionalFormatting sqref="J8:J10">
    <cfRule type="expression" dxfId="25" priority="81">
      <formula>AND(J8&gt;=120%)</formula>
    </cfRule>
    <cfRule type="expression" dxfId="24" priority="82">
      <formula>AND(J8&lt;50%)</formula>
    </cfRule>
    <cfRule type="expression" dxfId="23" priority="83">
      <formula>AND(J8&gt;=50%, J8&lt;80%)</formula>
    </cfRule>
    <cfRule type="expression" dxfId="22" priority="84">
      <formula>AND(J8&gt;=80%, J8&lt;=120%)</formula>
    </cfRule>
  </conditionalFormatting>
  <conditionalFormatting sqref="J11:J23">
    <cfRule type="expression" dxfId="21" priority="125">
      <formula>AND(J11&gt;=120%)</formula>
    </cfRule>
    <cfRule type="expression" dxfId="20" priority="126">
      <formula>AND(J11&lt;50%)</formula>
    </cfRule>
    <cfRule type="expression" dxfId="19" priority="127">
      <formula>AND(J11&gt;=50%, J11&lt;80%)</formula>
    </cfRule>
    <cfRule type="expression" dxfId="18" priority="128">
      <formula>AND(J11&gt;=80%, J11&lt;=120%)</formula>
    </cfRule>
  </conditionalFormatting>
  <conditionalFormatting sqref="J16:J17">
    <cfRule type="expression" dxfId="17" priority="121">
      <formula>AND(J16&gt;=120%)</formula>
    </cfRule>
    <cfRule type="expression" dxfId="16" priority="122">
      <formula>AND(J16&lt;50%)</formula>
    </cfRule>
    <cfRule type="expression" dxfId="15" priority="123">
      <formula>AND(J16&gt;=50%, J16&lt;80%)</formula>
    </cfRule>
    <cfRule type="expression" dxfId="14" priority="124">
      <formula>AND(J16&gt;=80%, J16&lt;=120%)</formula>
    </cfRule>
  </conditionalFormatting>
  <conditionalFormatting sqref="L4:L9">
    <cfRule type="expression" dxfId="13" priority="61">
      <formula>AND(L4&gt;=120%)</formula>
    </cfRule>
    <cfRule type="expression" dxfId="12" priority="62">
      <formula>AND(L4&lt;50%)</formula>
    </cfRule>
    <cfRule type="expression" dxfId="11" priority="63">
      <formula>AND(L4&gt;=50%, L4&lt;80%)</formula>
    </cfRule>
    <cfRule type="expression" dxfId="10" priority="64">
      <formula>AND(L4&gt;=80%, L4&lt;=120%)</formula>
    </cfRule>
  </conditionalFormatting>
  <conditionalFormatting sqref="L8:L11">
    <cfRule type="expression" dxfId="9" priority="53">
      <formula>AND(L8&gt;=120%)</formula>
    </cfRule>
    <cfRule type="expression" dxfId="8" priority="54">
      <formula>AND(L8&lt;50%)</formula>
    </cfRule>
    <cfRule type="expression" dxfId="7" priority="55">
      <formula>AND(L8&gt;=50%, L8&lt;80%)</formula>
    </cfRule>
    <cfRule type="expression" dxfId="6" priority="56">
      <formula>AND(L8&gt;=80%, L8&lt;=120%)</formula>
    </cfRule>
  </conditionalFormatting>
  <conditionalFormatting sqref="L10:L17">
    <cfRule type="expression" dxfId="5" priority="33">
      <formula>AND(L10&gt;=120%)</formula>
    </cfRule>
    <cfRule type="expression" dxfId="4" priority="34">
      <formula>AND(L10&lt;50%)</formula>
    </cfRule>
    <cfRule type="expression" dxfId="3" priority="35">
      <formula>AND(L10&gt;=50%, L10&lt;80%)</formula>
    </cfRule>
    <cfRule type="expression" dxfId="2" priority="36">
      <formula>AND(L10&gt;=80%, L10&lt;=120%)</formula>
    </cfRule>
  </conditionalFormatting>
  <conditionalFormatting sqref="L16:L23 G4:G23">
    <cfRule type="expression" dxfId="1" priority="149">
      <formula>AND(G4&gt;=120%)</formula>
    </cfRule>
    <cfRule type="expression" dxfId="0" priority="150">
      <formula>AND(G4&lt;50%)</formula>
    </cfRule>
  </conditionalFormatting>
  <pageMargins left="0.75" right="0.75" top="1" bottom="1" header="0.5" footer="0.5"/>
  <pageSetup paperSize="9" orientation="portrait" horizontalDpi="0" verticalDpi="0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7"/>
  <sheetViews>
    <sheetView workbookViewId="0">
      <selection activeCell="C13" sqref="C13"/>
    </sheetView>
  </sheetViews>
  <sheetFormatPr baseColWidth="10" defaultRowHeight="16" x14ac:dyDescent="0.2"/>
  <cols>
    <col min="1" max="1" width="7" style="58" bestFit="1" customWidth="1"/>
    <col min="2" max="2" width="8.1640625" style="58" bestFit="1" customWidth="1"/>
    <col min="3" max="3" width="95.83203125" style="58" customWidth="1"/>
    <col min="4" max="4" width="11.83203125" style="58" bestFit="1" customWidth="1"/>
    <col min="5" max="5" width="75.5" style="58" bestFit="1" customWidth="1"/>
    <col min="6" max="6" width="10" style="58" bestFit="1" customWidth="1"/>
    <col min="7" max="7" width="12.33203125" style="58" bestFit="1" customWidth="1"/>
    <col min="8" max="16384" width="10.83203125" style="58"/>
  </cols>
  <sheetData>
    <row r="1" spans="1:7" ht="32" x14ac:dyDescent="0.2">
      <c r="A1" s="57" t="s">
        <v>11</v>
      </c>
      <c r="B1" s="57" t="s">
        <v>135</v>
      </c>
      <c r="C1" s="57" t="s">
        <v>152</v>
      </c>
      <c r="D1" s="57" t="s">
        <v>153</v>
      </c>
      <c r="E1" s="57" t="s">
        <v>154</v>
      </c>
      <c r="F1" s="57" t="s">
        <v>155</v>
      </c>
      <c r="G1" s="57" t="s">
        <v>156</v>
      </c>
    </row>
    <row r="2" spans="1:7" ht="48" x14ac:dyDescent="0.2">
      <c r="A2" s="59">
        <v>82846</v>
      </c>
      <c r="B2" s="59" t="s">
        <v>12</v>
      </c>
      <c r="C2" s="59" t="s">
        <v>157</v>
      </c>
      <c r="D2" s="60">
        <v>3.8E-3</v>
      </c>
      <c r="E2" s="59" t="s">
        <v>158</v>
      </c>
      <c r="F2" s="59" t="s">
        <v>159</v>
      </c>
      <c r="G2" s="61">
        <v>-6.3500000000000001E-2</v>
      </c>
    </row>
    <row r="3" spans="1:7" ht="32" x14ac:dyDescent="0.2">
      <c r="A3" s="59" t="s">
        <v>13</v>
      </c>
      <c r="B3" s="59" t="s">
        <v>14</v>
      </c>
      <c r="C3" s="59" t="s">
        <v>183</v>
      </c>
      <c r="D3" s="59" t="s">
        <v>160</v>
      </c>
      <c r="E3" s="59" t="s">
        <v>161</v>
      </c>
      <c r="F3" s="59" t="s">
        <v>160</v>
      </c>
      <c r="G3" s="62" t="s">
        <v>162</v>
      </c>
    </row>
    <row r="4" spans="1:7" ht="48" x14ac:dyDescent="0.2">
      <c r="A4" s="59" t="s">
        <v>15</v>
      </c>
      <c r="B4" s="59" t="s">
        <v>16</v>
      </c>
      <c r="C4" s="59" t="s">
        <v>163</v>
      </c>
      <c r="D4" s="59" t="s">
        <v>164</v>
      </c>
      <c r="E4" s="59" t="s">
        <v>165</v>
      </c>
      <c r="F4" s="59" t="s">
        <v>166</v>
      </c>
      <c r="G4" s="62" t="s">
        <v>167</v>
      </c>
    </row>
    <row r="5" spans="1:7" ht="48" x14ac:dyDescent="0.2">
      <c r="A5" s="59" t="s">
        <v>17</v>
      </c>
      <c r="B5" s="59" t="s">
        <v>18</v>
      </c>
      <c r="C5" s="59" t="s">
        <v>168</v>
      </c>
      <c r="D5" s="59" t="s">
        <v>169</v>
      </c>
      <c r="E5" s="59" t="s">
        <v>170</v>
      </c>
      <c r="F5" s="59" t="s">
        <v>171</v>
      </c>
      <c r="G5" s="62" t="s">
        <v>172</v>
      </c>
    </row>
    <row r="6" spans="1:7" ht="48" x14ac:dyDescent="0.2">
      <c r="A6" s="59" t="s">
        <v>150</v>
      </c>
      <c r="B6" s="59" t="s">
        <v>138</v>
      </c>
      <c r="C6" s="59" t="s">
        <v>173</v>
      </c>
      <c r="D6" s="59" t="s">
        <v>174</v>
      </c>
      <c r="E6" s="59" t="s">
        <v>175</v>
      </c>
      <c r="F6" s="59" t="s">
        <v>176</v>
      </c>
      <c r="G6" s="62" t="s">
        <v>177</v>
      </c>
    </row>
    <row r="7" spans="1:7" ht="48" x14ac:dyDescent="0.2">
      <c r="A7" s="59" t="s">
        <v>151</v>
      </c>
      <c r="B7" s="59" t="s">
        <v>138</v>
      </c>
      <c r="C7" s="59" t="s">
        <v>178</v>
      </c>
      <c r="D7" s="59" t="s">
        <v>179</v>
      </c>
      <c r="E7" s="59" t="s">
        <v>180</v>
      </c>
      <c r="F7" s="59" t="s">
        <v>181</v>
      </c>
      <c r="G7" s="62" t="s">
        <v>182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8"/>
  <sheetViews>
    <sheetView workbookViewId="0">
      <selection sqref="A1:XFD1048576"/>
    </sheetView>
  </sheetViews>
  <sheetFormatPr baseColWidth="10" defaultRowHeight="16" x14ac:dyDescent="0.2"/>
  <cols>
    <col min="1" max="1" width="8.1640625" style="1" bestFit="1" customWidth="1"/>
    <col min="2" max="2" width="20" style="1" bestFit="1" customWidth="1"/>
    <col min="3" max="3" width="20" style="1" customWidth="1"/>
    <col min="4" max="4" width="17.6640625" style="1" bestFit="1" customWidth="1"/>
    <col min="5" max="5" width="12.83203125" style="1" bestFit="1" customWidth="1"/>
    <col min="6" max="6" width="14" style="1" bestFit="1" customWidth="1"/>
    <col min="7" max="7" width="68.33203125" style="1" bestFit="1" customWidth="1"/>
    <col min="8" max="8" width="10.83203125" style="1" customWidth="1"/>
    <col min="9" max="16384" width="10.83203125" style="1"/>
  </cols>
  <sheetData>
    <row r="1" spans="1:7" x14ac:dyDescent="0.2">
      <c r="A1" s="1" t="s">
        <v>11</v>
      </c>
      <c r="B1" s="1" t="s">
        <v>19</v>
      </c>
      <c r="C1" s="1" t="s">
        <v>190</v>
      </c>
      <c r="D1" s="1" t="s">
        <v>20</v>
      </c>
      <c r="E1" s="1" t="s">
        <v>21</v>
      </c>
      <c r="F1" s="1" t="s">
        <v>22</v>
      </c>
      <c r="G1" s="1" t="s">
        <v>23</v>
      </c>
    </row>
    <row r="2" spans="1:7" x14ac:dyDescent="0.2">
      <c r="A2" s="1" t="s">
        <v>24</v>
      </c>
      <c r="B2" s="1" t="s">
        <v>18</v>
      </c>
      <c r="C2" s="1" t="s">
        <v>188</v>
      </c>
      <c r="D2" s="1" t="s">
        <v>195</v>
      </c>
      <c r="E2" s="3"/>
      <c r="F2" s="3"/>
    </row>
    <row r="3" spans="1:7" x14ac:dyDescent="0.2">
      <c r="A3" s="1" t="s">
        <v>184</v>
      </c>
      <c r="B3" s="1" t="s">
        <v>138</v>
      </c>
      <c r="C3" s="1" t="s">
        <v>188</v>
      </c>
      <c r="D3" s="1" t="s">
        <v>194</v>
      </c>
      <c r="E3" s="3"/>
      <c r="F3" s="3"/>
    </row>
    <row r="4" spans="1:7" x14ac:dyDescent="0.2">
      <c r="A4" s="1" t="s">
        <v>185</v>
      </c>
      <c r="B4" s="1" t="s">
        <v>14</v>
      </c>
      <c r="C4" s="1" t="s">
        <v>187</v>
      </c>
      <c r="D4" s="1" t="s">
        <v>193</v>
      </c>
      <c r="E4" s="3"/>
      <c r="F4" s="3"/>
    </row>
    <row r="5" spans="1:7" x14ac:dyDescent="0.2">
      <c r="A5" s="1" t="s">
        <v>25</v>
      </c>
      <c r="B5" s="1" t="s">
        <v>18</v>
      </c>
      <c r="C5" s="1" t="s">
        <v>191</v>
      </c>
      <c r="D5" s="1" t="s">
        <v>192</v>
      </c>
      <c r="E5" s="3"/>
      <c r="F5" s="3"/>
    </row>
    <row r="6" spans="1:7" x14ac:dyDescent="0.2">
      <c r="A6" s="1" t="s">
        <v>26</v>
      </c>
      <c r="B6" s="1" t="s">
        <v>18</v>
      </c>
      <c r="C6" s="1" t="s">
        <v>189</v>
      </c>
      <c r="D6" s="1" t="s">
        <v>196</v>
      </c>
      <c r="E6" s="3"/>
      <c r="F6" s="3"/>
    </row>
    <row r="7" spans="1:7" x14ac:dyDescent="0.2">
      <c r="A7" s="1" t="s">
        <v>186</v>
      </c>
      <c r="B7" s="1" t="s">
        <v>18</v>
      </c>
      <c r="C7" s="1" t="s">
        <v>187</v>
      </c>
      <c r="D7" s="1" t="s">
        <v>197</v>
      </c>
      <c r="E7" s="3"/>
      <c r="F7" s="3"/>
    </row>
    <row r="8" spans="1:7" x14ac:dyDescent="0.2">
      <c r="A8" s="1" t="s">
        <v>27</v>
      </c>
      <c r="B8" s="1" t="s">
        <v>18</v>
      </c>
      <c r="C8" s="1" t="s">
        <v>191</v>
      </c>
      <c r="D8" s="1" t="s">
        <v>198</v>
      </c>
      <c r="E8" s="3"/>
      <c r="F8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3"/>
  <sheetViews>
    <sheetView workbookViewId="0">
      <selection activeCell="D48" sqref="D48"/>
    </sheetView>
  </sheetViews>
  <sheetFormatPr baseColWidth="10" defaultRowHeight="16" x14ac:dyDescent="0.2"/>
  <cols>
    <col min="1" max="1" width="8.1640625" style="1" bestFit="1" customWidth="1"/>
    <col min="2" max="2" width="20" style="1" bestFit="1" customWidth="1"/>
    <col min="3" max="3" width="26" style="1" bestFit="1" customWidth="1"/>
    <col min="4" max="4" width="48.83203125" style="1" customWidth="1"/>
    <col min="5" max="5" width="190" style="1" bestFit="1" customWidth="1"/>
    <col min="6" max="6" width="10.83203125" style="1" customWidth="1"/>
    <col min="7" max="16384" width="10.83203125" style="1"/>
  </cols>
  <sheetData>
    <row r="1" spans="1:5" x14ac:dyDescent="0.2">
      <c r="A1" s="5" t="s">
        <v>11</v>
      </c>
      <c r="B1" s="5" t="s">
        <v>3</v>
      </c>
      <c r="C1" s="5" t="s">
        <v>28</v>
      </c>
      <c r="D1" s="5" t="s">
        <v>29</v>
      </c>
      <c r="E1" s="5" t="s">
        <v>30</v>
      </c>
    </row>
    <row r="2" spans="1:5" x14ac:dyDescent="0.2">
      <c r="A2" s="5" t="s">
        <v>31</v>
      </c>
      <c r="B2" s="5" t="s">
        <v>32</v>
      </c>
      <c r="C2" s="5" t="s">
        <v>33</v>
      </c>
      <c r="D2" s="5" t="s">
        <v>34</v>
      </c>
      <c r="E2" s="5" t="s">
        <v>35</v>
      </c>
    </row>
    <row r="3" spans="1:5" x14ac:dyDescent="0.2">
      <c r="A3" s="5" t="s">
        <v>36</v>
      </c>
      <c r="B3" s="5" t="s">
        <v>37</v>
      </c>
      <c r="C3" s="5" t="s">
        <v>38</v>
      </c>
      <c r="D3" s="5" t="s">
        <v>39</v>
      </c>
      <c r="E3" s="5" t="s">
        <v>40</v>
      </c>
    </row>
    <row r="4" spans="1:5" x14ac:dyDescent="0.2">
      <c r="A4" s="5" t="s">
        <v>41</v>
      </c>
      <c r="B4" s="5" t="s">
        <v>37</v>
      </c>
      <c r="C4" s="5" t="s">
        <v>38</v>
      </c>
      <c r="D4" s="5" t="s">
        <v>42</v>
      </c>
      <c r="E4" s="5" t="s">
        <v>43</v>
      </c>
    </row>
    <row r="5" spans="1:5" x14ac:dyDescent="0.2">
      <c r="A5" s="5" t="s">
        <v>45</v>
      </c>
      <c r="B5" s="5" t="s">
        <v>37</v>
      </c>
      <c r="C5" s="5" t="s">
        <v>44</v>
      </c>
      <c r="D5" s="5" t="s">
        <v>46</v>
      </c>
      <c r="E5" s="5" t="s">
        <v>47</v>
      </c>
    </row>
    <row r="6" spans="1:5" x14ac:dyDescent="0.2">
      <c r="A6" s="5" t="s">
        <v>48</v>
      </c>
      <c r="B6" s="5" t="s">
        <v>37</v>
      </c>
      <c r="C6" s="5" t="s">
        <v>49</v>
      </c>
      <c r="D6" s="5" t="s">
        <v>50</v>
      </c>
      <c r="E6" s="5" t="s">
        <v>51</v>
      </c>
    </row>
    <row r="7" spans="1:5" x14ac:dyDescent="0.2">
      <c r="A7" s="5" t="s">
        <v>52</v>
      </c>
      <c r="B7" s="5" t="s">
        <v>37</v>
      </c>
      <c r="C7" s="5" t="s">
        <v>38</v>
      </c>
      <c r="D7" s="5" t="s">
        <v>53</v>
      </c>
      <c r="E7" s="5" t="s">
        <v>54</v>
      </c>
    </row>
    <row r="8" spans="1:5" x14ac:dyDescent="0.2">
      <c r="A8" s="5" t="s">
        <v>55</v>
      </c>
      <c r="B8" s="5" t="s">
        <v>56</v>
      </c>
      <c r="C8" s="6" t="s">
        <v>57</v>
      </c>
      <c r="D8" s="6" t="s">
        <v>58</v>
      </c>
      <c r="E8" s="6" t="s">
        <v>59</v>
      </c>
    </row>
    <row r="9" spans="1:5" x14ac:dyDescent="0.2">
      <c r="A9" s="5" t="s">
        <v>60</v>
      </c>
      <c r="B9" s="5" t="s">
        <v>56</v>
      </c>
      <c r="C9" s="6" t="s">
        <v>61</v>
      </c>
      <c r="D9" s="6" t="s">
        <v>62</v>
      </c>
      <c r="E9" s="6" t="s">
        <v>63</v>
      </c>
    </row>
    <row r="10" spans="1:5" x14ac:dyDescent="0.2">
      <c r="A10" s="5" t="s">
        <v>64</v>
      </c>
      <c r="B10" s="5" t="s">
        <v>56</v>
      </c>
      <c r="C10" s="6" t="s">
        <v>44</v>
      </c>
      <c r="D10" s="6" t="s">
        <v>65</v>
      </c>
      <c r="E10" s="6" t="s">
        <v>66</v>
      </c>
    </row>
    <row r="11" spans="1:5" x14ac:dyDescent="0.2">
      <c r="A11" s="5" t="s">
        <v>67</v>
      </c>
      <c r="B11" s="5" t="s">
        <v>68</v>
      </c>
      <c r="C11" s="5" t="s">
        <v>44</v>
      </c>
      <c r="D11" s="5" t="s">
        <v>69</v>
      </c>
      <c r="E11" s="5" t="s">
        <v>70</v>
      </c>
    </row>
    <row r="12" spans="1:5" x14ac:dyDescent="0.2">
      <c r="A12" s="5" t="s">
        <v>71</v>
      </c>
      <c r="B12" s="5" t="s">
        <v>72</v>
      </c>
      <c r="C12" s="5" t="s">
        <v>44</v>
      </c>
      <c r="D12" s="5" t="s">
        <v>73</v>
      </c>
      <c r="E12" s="5" t="s">
        <v>74</v>
      </c>
    </row>
    <row r="13" spans="1:5" x14ac:dyDescent="0.2">
      <c r="A13" s="5" t="s">
        <v>75</v>
      </c>
      <c r="B13" s="5" t="s">
        <v>72</v>
      </c>
      <c r="C13" s="5" t="s">
        <v>38</v>
      </c>
      <c r="D13" s="5" t="s">
        <v>76</v>
      </c>
      <c r="E13" s="5" t="s">
        <v>77</v>
      </c>
    </row>
    <row r="14" spans="1:5" x14ac:dyDescent="0.2">
      <c r="A14" s="5" t="s">
        <v>78</v>
      </c>
      <c r="B14" s="5" t="s">
        <v>79</v>
      </c>
      <c r="C14" s="5" t="s">
        <v>38</v>
      </c>
      <c r="D14" s="5" t="s">
        <v>80</v>
      </c>
      <c r="E14" s="5" t="s">
        <v>81</v>
      </c>
    </row>
    <row r="15" spans="1:5" x14ac:dyDescent="0.2">
      <c r="A15" s="5" t="s">
        <v>82</v>
      </c>
      <c r="B15" s="5" t="s">
        <v>79</v>
      </c>
      <c r="C15" s="5" t="s">
        <v>44</v>
      </c>
      <c r="D15" s="5" t="s">
        <v>83</v>
      </c>
      <c r="E15" s="5" t="s">
        <v>84</v>
      </c>
    </row>
    <row r="16" spans="1:5" x14ac:dyDescent="0.2">
      <c r="A16" s="5" t="s">
        <v>85</v>
      </c>
      <c r="B16" s="5" t="s">
        <v>86</v>
      </c>
      <c r="C16" s="5" t="s">
        <v>87</v>
      </c>
      <c r="D16" s="5" t="s">
        <v>88</v>
      </c>
      <c r="E16" s="5" t="s">
        <v>89</v>
      </c>
    </row>
    <row r="17" spans="1:5" x14ac:dyDescent="0.2">
      <c r="A17" s="5" t="s">
        <v>90</v>
      </c>
      <c r="B17" s="5" t="s">
        <v>86</v>
      </c>
      <c r="C17" s="5" t="s">
        <v>38</v>
      </c>
      <c r="D17" s="5" t="s">
        <v>91</v>
      </c>
      <c r="E17" s="5" t="s">
        <v>92</v>
      </c>
    </row>
    <row r="18" spans="1:5" x14ac:dyDescent="0.2">
      <c r="A18" s="5" t="s">
        <v>93</v>
      </c>
      <c r="B18" s="5" t="s">
        <v>86</v>
      </c>
      <c r="C18" s="5" t="s">
        <v>94</v>
      </c>
      <c r="D18" s="5" t="s">
        <v>95</v>
      </c>
      <c r="E18" s="5" t="s">
        <v>96</v>
      </c>
    </row>
    <row r="19" spans="1:5" x14ac:dyDescent="0.2">
      <c r="A19" s="5" t="s">
        <v>97</v>
      </c>
      <c r="B19" s="5" t="s">
        <v>86</v>
      </c>
      <c r="C19" s="5" t="s">
        <v>98</v>
      </c>
      <c r="D19" s="5" t="s">
        <v>99</v>
      </c>
      <c r="E19" s="5" t="s">
        <v>100</v>
      </c>
    </row>
    <row r="20" spans="1:5" x14ac:dyDescent="0.2">
      <c r="A20" s="5" t="s">
        <v>101</v>
      </c>
      <c r="B20" s="5" t="s">
        <v>86</v>
      </c>
      <c r="C20" s="5" t="s">
        <v>44</v>
      </c>
      <c r="D20" s="5" t="s">
        <v>102</v>
      </c>
      <c r="E20" s="5" t="s">
        <v>103</v>
      </c>
    </row>
    <row r="21" spans="1:5" x14ac:dyDescent="0.2">
      <c r="A21" s="5" t="s">
        <v>104</v>
      </c>
      <c r="B21" s="5" t="s">
        <v>86</v>
      </c>
      <c r="C21" s="5" t="s">
        <v>105</v>
      </c>
      <c r="D21" s="5" t="s">
        <v>106</v>
      </c>
      <c r="E21" s="5" t="s">
        <v>107</v>
      </c>
    </row>
    <row r="22" spans="1:5" x14ac:dyDescent="0.2">
      <c r="A22" s="5" t="s">
        <v>108</v>
      </c>
      <c r="B22" s="5" t="s">
        <v>86</v>
      </c>
      <c r="C22" s="5" t="s">
        <v>109</v>
      </c>
      <c r="D22" s="5" t="s">
        <v>110</v>
      </c>
      <c r="E22" s="5" t="s">
        <v>111</v>
      </c>
    </row>
    <row r="23" spans="1:5" x14ac:dyDescent="0.2">
      <c r="A23" s="5" t="s">
        <v>112</v>
      </c>
      <c r="B23" s="5" t="s">
        <v>113</v>
      </c>
      <c r="C23" s="5" t="s">
        <v>105</v>
      </c>
      <c r="D23" s="5" t="s">
        <v>114</v>
      </c>
      <c r="E23" s="5" t="s">
        <v>115</v>
      </c>
    </row>
  </sheetData>
  <autoFilter ref="A1:E1" xr:uid="{00000000-0009-0000-0000-000003000000}">
    <sortState xmlns:xlrd2="http://schemas.microsoft.com/office/spreadsheetml/2017/richdata2" ref="A2:E24">
      <sortCondition ref="B1:B24"/>
    </sortState>
  </autoFilter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"/>
  <sheetViews>
    <sheetView workbookViewId="0">
      <selection activeCell="B8" sqref="B8"/>
    </sheetView>
  </sheetViews>
  <sheetFormatPr baseColWidth="10" defaultRowHeight="15" x14ac:dyDescent="0.2"/>
  <cols>
    <col min="1" max="1" width="8.1640625" bestFit="1" customWidth="1"/>
    <col min="2" max="2" width="41.6640625" bestFit="1" customWidth="1"/>
    <col min="3" max="3" width="50.1640625" bestFit="1" customWidth="1"/>
    <col min="4" max="4" width="86.33203125" bestFit="1" customWidth="1"/>
    <col min="5" max="5" width="90" bestFit="1" customWidth="1"/>
  </cols>
  <sheetData>
    <row r="1" spans="1:5" s="1" customFormat="1" ht="16" customHeight="1" x14ac:dyDescent="0.2">
      <c r="A1" s="5" t="s">
        <v>11</v>
      </c>
      <c r="B1" s="5" t="s">
        <v>3</v>
      </c>
      <c r="C1" s="5" t="s">
        <v>28</v>
      </c>
      <c r="D1" s="5" t="s">
        <v>29</v>
      </c>
      <c r="E1" s="5" t="s">
        <v>30</v>
      </c>
    </row>
    <row r="2" spans="1:5" s="1" customFormat="1" ht="16" customHeight="1" x14ac:dyDescent="0.2">
      <c r="A2" s="5" t="s">
        <v>116</v>
      </c>
      <c r="B2" s="5" t="s">
        <v>117</v>
      </c>
      <c r="C2" s="5" t="s">
        <v>118</v>
      </c>
      <c r="D2" s="5" t="s">
        <v>119</v>
      </c>
      <c r="E2" s="5" t="s">
        <v>120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5"/>
  <sheetViews>
    <sheetView workbookViewId="0">
      <selection activeCell="P42" sqref="P42"/>
    </sheetView>
  </sheetViews>
  <sheetFormatPr baseColWidth="10" defaultRowHeight="15" x14ac:dyDescent="0.2"/>
  <sheetData>
    <row r="1" spans="1:1" ht="26" customHeight="1" x14ac:dyDescent="0.35">
      <c r="A1" s="2" t="s">
        <v>121</v>
      </c>
    </row>
    <row r="2" spans="1:1" ht="26" customHeight="1" x14ac:dyDescent="0.35">
      <c r="A2" s="2" t="s">
        <v>122</v>
      </c>
    </row>
    <row r="3" spans="1:1" ht="26" customHeight="1" x14ac:dyDescent="0.35">
      <c r="A3" s="2" t="s">
        <v>123</v>
      </c>
    </row>
    <row r="4" spans="1:1" ht="26" customHeight="1" x14ac:dyDescent="0.2"/>
    <row r="5" spans="1:1" ht="26" customHeight="1" x14ac:dyDescent="0.35">
      <c r="A5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GlobalETF</vt:lpstr>
      <vt:lpstr>GrowthEngine</vt:lpstr>
      <vt:lpstr>IncomeStrategy</vt:lpstr>
      <vt:lpstr>Gold</vt:lpstr>
      <vt:lpstr>Todo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Hong Kiat Koh</cp:lastModifiedBy>
  <dcterms:created xsi:type="dcterms:W3CDTF">2026-01-14T14:20:58Z</dcterms:created>
  <dcterms:modified xsi:type="dcterms:W3CDTF">2026-01-31T09:18:16Z</dcterms:modified>
</cp:coreProperties>
</file>