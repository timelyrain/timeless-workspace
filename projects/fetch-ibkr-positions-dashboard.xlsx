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hongkiatkoh/Desktop/timeless-workspace/timeless-workspace/projects/"/>
    </mc:Choice>
  </mc:AlternateContent>
  <xr:revisionPtr revIDLastSave="0" documentId="13_ncr:1_{6F0221FD-8467-1948-BF8C-8B1A2E94D03C}" xr6:coauthVersionLast="47" xr6:coauthVersionMax="47" xr10:uidLastSave="{00000000-0000-0000-0000-000000000000}"/>
  <bookViews>
    <workbookView xWindow="5820" yWindow="1940" windowWidth="32100" windowHeight="251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E21" i="1"/>
  <c r="B56" i="1"/>
  <c r="B55" i="1"/>
  <c r="B52" i="1"/>
  <c r="A56" i="1"/>
  <c r="A55" i="1"/>
  <c r="A54" i="1"/>
  <c r="A53" i="1"/>
  <c r="A52" i="1"/>
  <c r="A51" i="1"/>
  <c r="A50" i="1"/>
  <c r="H9" i="1"/>
  <c r="H8" i="1"/>
  <c r="H7" i="1"/>
  <c r="E9" i="1"/>
  <c r="E8" i="1"/>
  <c r="E7" i="1"/>
  <c r="H5" i="1"/>
  <c r="H6" i="1"/>
  <c r="E6" i="1"/>
  <c r="E5" i="1"/>
  <c r="G16" i="1"/>
  <c r="D16" i="1"/>
  <c r="B22" i="1"/>
  <c r="H20" i="1"/>
  <c r="E20" i="1"/>
  <c r="H19" i="1"/>
  <c r="E19" i="1"/>
  <c r="H16" i="1" a="1"/>
  <c r="H16" i="1" s="1"/>
  <c r="E16" i="1" a="1"/>
  <c r="E16" i="1" s="1"/>
  <c r="G10" i="1"/>
  <c r="K2" i="3" s="1"/>
  <c r="D10" i="1"/>
  <c r="J2" i="3" s="1"/>
  <c r="H14" i="1"/>
  <c r="H15" i="1"/>
  <c r="H13" i="1"/>
  <c r="H12" i="1"/>
  <c r="E12" i="1"/>
  <c r="E14" i="1"/>
  <c r="E15" i="1"/>
  <c r="E13" i="1"/>
  <c r="H11" i="1"/>
  <c r="E11" i="1"/>
  <c r="H4" i="1" a="1"/>
  <c r="H4" i="1" s="1"/>
  <c r="E4" i="1" a="1"/>
  <c r="E4" i="1" s="1"/>
  <c r="H18" i="1" a="1"/>
  <c r="H18" i="1" s="1"/>
  <c r="E18" i="1" a="1"/>
  <c r="E18" i="1" s="1"/>
  <c r="E17" i="1" s="1"/>
  <c r="I7" i="3"/>
  <c r="G21" i="1"/>
  <c r="D21" i="1"/>
  <c r="G20" i="1"/>
  <c r="D20" i="1"/>
  <c r="G17" i="1"/>
  <c r="G19" i="1" s="1"/>
  <c r="D17" i="1"/>
  <c r="D18" i="1" s="1"/>
  <c r="G4" i="1"/>
  <c r="G7" i="1" s="1"/>
  <c r="D4" i="1"/>
  <c r="D9" i="1" s="1"/>
  <c r="C2" i="1"/>
  <c r="C21" i="1" s="1"/>
  <c r="I21" i="1" l="1"/>
  <c r="J21" i="1"/>
  <c r="C56" i="1" s="1"/>
  <c r="D6" i="1"/>
  <c r="D8" i="1"/>
  <c r="D7" i="1"/>
  <c r="F7" i="1" s="1"/>
  <c r="F4" i="1"/>
  <c r="G6" i="1"/>
  <c r="I6" i="1" s="1"/>
  <c r="G5" i="1"/>
  <c r="D5" i="1"/>
  <c r="F5" i="1" s="1"/>
  <c r="G9" i="1"/>
  <c r="I9" i="1" s="1"/>
  <c r="G8" i="1"/>
  <c r="I8" i="1" s="1"/>
  <c r="H10" i="1"/>
  <c r="H22" i="1" s="1"/>
  <c r="I19" i="1"/>
  <c r="E10" i="1"/>
  <c r="F10" i="1" s="1"/>
  <c r="J9" i="1"/>
  <c r="J8" i="1"/>
  <c r="J7" i="1"/>
  <c r="F8" i="1"/>
  <c r="J5" i="1"/>
  <c r="J6" i="1"/>
  <c r="I5" i="1"/>
  <c r="I7" i="1"/>
  <c r="F6" i="1"/>
  <c r="F9" i="1"/>
  <c r="D19" i="1"/>
  <c r="K3" i="3"/>
  <c r="D12" i="1"/>
  <c r="F12" i="1" s="1"/>
  <c r="D11" i="1"/>
  <c r="F11" i="1" s="1"/>
  <c r="D14" i="1"/>
  <c r="F14" i="1" s="1"/>
  <c r="D15" i="1"/>
  <c r="F15" i="1" s="1"/>
  <c r="D13" i="1"/>
  <c r="F13" i="1" s="1"/>
  <c r="I20" i="1"/>
  <c r="F21" i="1"/>
  <c r="F20" i="1"/>
  <c r="F16" i="1"/>
  <c r="H17" i="1"/>
  <c r="I17" i="1" s="1"/>
  <c r="I4" i="1"/>
  <c r="J17" i="1"/>
  <c r="F17" i="1"/>
  <c r="G18" i="1"/>
  <c r="I18" i="1" s="1"/>
  <c r="L21" i="1"/>
  <c r="I16" i="1"/>
  <c r="F19" i="1"/>
  <c r="J3" i="3"/>
  <c r="C4" i="1"/>
  <c r="B50" i="1" s="1"/>
  <c r="J4" i="3"/>
  <c r="C16" i="1"/>
  <c r="C17" i="1"/>
  <c r="C10" i="1"/>
  <c r="B51" i="1" s="1"/>
  <c r="K4" i="3"/>
  <c r="K21" i="1"/>
  <c r="J5" i="3"/>
  <c r="K5" i="3"/>
  <c r="J6" i="3"/>
  <c r="J18" i="1"/>
  <c r="C53" i="1" s="1"/>
  <c r="J19" i="1"/>
  <c r="C54" i="1" s="1"/>
  <c r="J20" i="1"/>
  <c r="C55" i="1" s="1"/>
  <c r="J11" i="1"/>
  <c r="J12" i="1"/>
  <c r="J13" i="1"/>
  <c r="J15" i="1"/>
  <c r="J14" i="1"/>
  <c r="J16" i="1"/>
  <c r="C52" i="1" s="1"/>
  <c r="J4" i="1"/>
  <c r="C50" i="1" s="1"/>
  <c r="K6" i="3"/>
  <c r="G11" i="1"/>
  <c r="I11" i="1" s="1"/>
  <c r="G12" i="1"/>
  <c r="I12" i="1" s="1"/>
  <c r="G13" i="1"/>
  <c r="I13" i="1" s="1"/>
  <c r="G15" i="1"/>
  <c r="I15" i="1" s="1"/>
  <c r="G14" i="1"/>
  <c r="I14" i="1" s="1"/>
  <c r="C20" i="1"/>
  <c r="E22" i="1" l="1"/>
  <c r="I10" i="1"/>
  <c r="J10" i="1"/>
  <c r="C51" i="1" s="1"/>
  <c r="K10" i="1"/>
  <c r="C6" i="1"/>
  <c r="C5" i="1"/>
  <c r="C7" i="1"/>
  <c r="C8" i="1"/>
  <c r="C9" i="1"/>
  <c r="K17" i="1"/>
  <c r="L8" i="1"/>
  <c r="K8" i="1"/>
  <c r="F18" i="1"/>
  <c r="L17" i="1"/>
  <c r="L16" i="1"/>
  <c r="K16" i="1"/>
  <c r="L20" i="1"/>
  <c r="K20" i="1"/>
  <c r="C19" i="1"/>
  <c r="C18" i="1"/>
  <c r="K4" i="1"/>
  <c r="L4" i="1"/>
  <c r="C15" i="1"/>
  <c r="K15" i="1" s="1"/>
  <c r="C12" i="1"/>
  <c r="L12" i="1" s="1"/>
  <c r="C14" i="1"/>
  <c r="L14" i="1" s="1"/>
  <c r="C13" i="1"/>
  <c r="L13" i="1" s="1"/>
  <c r="C11" i="1"/>
  <c r="L11" i="1" s="1"/>
  <c r="L10" i="1" l="1"/>
  <c r="L19" i="1"/>
  <c r="B54" i="1"/>
  <c r="K18" i="1"/>
  <c r="B53" i="1"/>
  <c r="K9" i="1"/>
  <c r="L9" i="1"/>
  <c r="L5" i="1"/>
  <c r="K5" i="1"/>
  <c r="L6" i="1"/>
  <c r="K6" i="1"/>
  <c r="L7" i="1"/>
  <c r="K7" i="1"/>
  <c r="K11" i="1"/>
  <c r="K12" i="1"/>
  <c r="K14" i="1"/>
  <c r="L15" i="1"/>
  <c r="K19" i="1"/>
  <c r="L18" i="1"/>
  <c r="K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E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E18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E19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E20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<sst xmlns="http://schemas.openxmlformats.org/spreadsheetml/2006/main" count="234" uniqueCount="186">
  <si>
    <t>HK</t>
  </si>
  <si>
    <t>AL</t>
  </si>
  <si>
    <t>TOTAL</t>
  </si>
  <si>
    <t>Category</t>
  </si>
  <si>
    <t>Percent</t>
  </si>
  <si>
    <t>Target</t>
  </si>
  <si>
    <t>Actual HK</t>
  </si>
  <si>
    <t xml:space="preserve">Actual % HK </t>
  </si>
  <si>
    <t>Actual AL</t>
  </si>
  <si>
    <t>Actual % AL</t>
  </si>
  <si>
    <t>Actual Total</t>
  </si>
  <si>
    <t>Actual %</t>
  </si>
  <si>
    <t>Delta</t>
  </si>
  <si>
    <t>Remarks</t>
  </si>
  <si>
    <t>Growth Engine (The five horseman)</t>
  </si>
  <si>
    <t>Digital (CSNDX)</t>
  </si>
  <si>
    <t>Digital: 100 US Tech giants. Your core foundation.</t>
  </si>
  <si>
    <t>Manufacturing (CTEC)</t>
  </si>
  <si>
    <t>Manufacturing: 150+ China Hard Tech &amp; AI leaders.</t>
  </si>
  <si>
    <t>Biotic: Global Genomics &amp; Med-Tech Innovation.</t>
  </si>
  <si>
    <t>Security (LOCK)</t>
  </si>
  <si>
    <t>Security: Cyberdefense &amp; Data Infrastructure.</t>
  </si>
  <si>
    <t>Energy (INRA)</t>
  </si>
  <si>
    <t>Energy: Clean energy utilities powering AI data centers.</t>
  </si>
  <si>
    <t>Ticker</t>
  </si>
  <si>
    <t>Weight</t>
  </si>
  <si>
    <t>Trading Currency</t>
  </si>
  <si>
    <t>Focus / Sector</t>
  </si>
  <si>
    <t>Exp. Ratio (TER)</t>
  </si>
  <si>
    <t>2026 Strategy Profile</t>
  </si>
  <si>
    <t>CNY</t>
  </si>
  <si>
    <t>China Blue-Chips</t>
  </si>
  <si>
    <t>The Value Hedge. Direct exposure to mainland Yuan &amp; economy.</t>
  </si>
  <si>
    <t>DHL</t>
  </si>
  <si>
    <t>EUR</t>
  </si>
  <si>
    <t>Logistics (Stock)</t>
  </si>
  <si>
    <t>None</t>
  </si>
  <si>
    <t>Physical Value. Industrial exposure with a strong Euro-yield.</t>
  </si>
  <si>
    <t>ES3</t>
  </si>
  <si>
    <t>SGD</t>
  </si>
  <si>
    <t>Singapore Index</t>
  </si>
  <si>
    <t>Income Anchor. Reliable ~3.7% yield in stable SGD.</t>
  </si>
  <si>
    <t>VWRA</t>
  </si>
  <si>
    <t>USD</t>
  </si>
  <si>
    <t>Global Core (Acc)</t>
  </si>
  <si>
    <t>USD Liquidity. Identical to VWCE; used for flexible USD entry.</t>
  </si>
  <si>
    <t>VWCE</t>
  </si>
  <si>
    <t>Primary Anchor. Captures world growth with a Euro-base.</t>
  </si>
  <si>
    <t>Primary Exchange</t>
  </si>
  <si>
    <t>Manager</t>
  </si>
  <si>
    <t>AUM (USD)</t>
  </si>
  <si>
    <t>Exp. Ratio</t>
  </si>
  <si>
    <t>2025 Return</t>
  </si>
  <si>
    <t>Top 1 Holding</t>
  </si>
  <si>
    <t>Strategy Profile</t>
  </si>
  <si>
    <t>Allocation</t>
  </si>
  <si>
    <t>CSNDX</t>
  </si>
  <si>
    <t>SIX (Swiss)</t>
  </si>
  <si>
    <t>iShares</t>
  </si>
  <si>
    <t>~$23.7 Billion</t>
  </si>
  <si>
    <t>NVIDIA</t>
  </si>
  <si>
    <t>CTEC</t>
  </si>
  <si>
    <t>~$2.4 Billion</t>
  </si>
  <si>
    <t>NetEase</t>
  </si>
  <si>
    <t>HEAL</t>
  </si>
  <si>
    <t>LSE</t>
  </si>
  <si>
    <t>~$1.1 Billion</t>
  </si>
  <si>
    <t>Illumina</t>
  </si>
  <si>
    <t>INRA</t>
  </si>
  <si>
    <t>AEB</t>
  </si>
  <si>
    <t>~$3.2 Billion</t>
  </si>
  <si>
    <t>Bloom Energy</t>
  </si>
  <si>
    <t>LOCK</t>
  </si>
  <si>
    <t>~$1.8 Billion</t>
  </si>
  <si>
    <t>Ciena Corp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</si>
  <si>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</si>
  <si>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</si>
  <si>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</si>
  <si>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</si>
  <si>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</si>
  <si>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</si>
  <si>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</si>
  <si>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</si>
  <si>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</si>
  <si>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</si>
  <si>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</si>
  <si>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</si>
  <si>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</si>
  <si>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</si>
  <si>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</si>
  <si>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</si>
  <si>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</si>
  <si>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</si>
  <si>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</si>
  <si>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</si>
  <si>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</si>
  <si>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</si>
  <si>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</si>
  <si>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</si>
  <si>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</si>
  <si>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</si>
  <si>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</si>
  <si>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</si>
  <si>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</si>
  <si>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</si>
  <si>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</si>
  <si>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</si>
  <si>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</si>
  <si>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</si>
  <si>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</si>
  <si>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</si>
  <si>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</si>
  <si>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</si>
  <si>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</si>
  <si>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</si>
  <si>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</si>
  <si>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</si>
  <si>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</si>
  <si>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</si>
  <si>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</si>
  <si>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</si>
  <si>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</si>
  <si>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</si>
  <si>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</si>
  <si>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</si>
  <si>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</si>
  <si>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</si>
  <si>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</si>
  <si>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</si>
  <si>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</si>
  <si>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</si>
  <si>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</si>
  <si>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</si>
  <si>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</si>
  <si>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</si>
  <si>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</si>
  <si>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</si>
  <si>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</si>
  <si>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</si>
  <si>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</si>
  <si>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</si>
  <si>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</si>
  <si>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</si>
  <si>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</si>
  <si>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</si>
  <si>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</si>
  <si>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</si>
  <si>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</si>
  <si>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</si>
  <si>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</si>
  <si>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</si>
  <si>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</si>
  <si>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</si>
  <si>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</si>
  <si>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</si>
  <si>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</si>
  <si>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</si>
  <si>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</si>
  <si>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</si>
  <si>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</si>
  <si>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</si>
  <si>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</si>
  <si>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</si>
  <si>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</si>
  <si>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</si>
  <si>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</si>
  <si>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</si>
  <si>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</si>
  <si>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</si>
  <si>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</si>
  <si>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update github actions</t>
  </si>
  <si>
    <t>Reserve: Cash</t>
  </si>
  <si>
    <t>Alpha &amp; Insurance (The Circuit Breaker)</t>
  </si>
  <si>
    <t>The Sniper (theme stocks)</t>
  </si>
  <si>
    <t>Reserve: Gold</t>
  </si>
  <si>
    <t>Biotic (HEAL)</t>
  </si>
  <si>
    <t>Global ETF (The stragic core)</t>
  </si>
  <si>
    <t>Income Strategy (The wheel)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</si>
  <si>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</si>
  <si>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</si>
  <si>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</si>
  <si>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</si>
  <si>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</si>
  <si>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VWCE (VT EUR)</t>
  </si>
  <si>
    <t>The Hedge (buy puts QQQ -15% OTM)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</si>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</sst>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_(&quot;$&quot;* #,##0_);_(&quot;$&quot;* \(#,##0\);_(&quot;$&quot;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1">
    <xf numFmtId="0" fontId="0" fillId="0" borderId="0" xfId="0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44" fontId="2" fillId="0" borderId="0" xfId="1" applyFont="1"/>
    <xf numFmtId="9" fontId="2" fillId="0" borderId="0" xfId="2" applyFont="1"/>
    <xf numFmtId="44" fontId="6" fillId="0" borderId="0" xfId="1" applyFont="1"/>
    <xf numFmtId="9" fontId="6" fillId="0" borderId="0" xfId="2" applyFont="1"/>
    <xf numFmtId="44" fontId="9" fillId="0" borderId="0" xfId="1" applyFont="1"/>
    <xf numFmtId="9" fontId="9" fillId="0" borderId="0" xfId="2" applyFont="1"/>
    <xf numFmtId="44" fontId="3" fillId="0" borderId="0" xfId="1" applyFont="1"/>
    <xf numFmtId="9" fontId="3" fillId="0" borderId="0" xfId="2" applyFont="1"/>
    <xf numFmtId="0" fontId="6" fillId="0" borderId="0" xfId="0" applyFont="1" applyAlignment="1">
      <alignment horizontal="left" indent="4"/>
    </xf>
    <xf numFmtId="44" fontId="2" fillId="2" borderId="0" xfId="1" applyFont="1" applyFill="1"/>
    <xf numFmtId="0" fontId="3" fillId="0" borderId="0" xfId="0" applyFont="1"/>
    <xf numFmtId="164" fontId="3" fillId="0" borderId="0" xfId="2" applyNumberFormat="1" applyFont="1"/>
    <xf numFmtId="44" fontId="3" fillId="0" borderId="0" xfId="0" applyNumberFormat="1" applyFont="1"/>
    <xf numFmtId="164" fontId="9" fillId="0" borderId="0" xfId="2" applyNumberFormat="1" applyFont="1"/>
    <xf numFmtId="44" fontId="9" fillId="0" borderId="0" xfId="0" applyNumberFormat="1" applyFont="1"/>
    <xf numFmtId="0" fontId="9" fillId="0" borderId="0" xfId="0" applyFont="1"/>
    <xf numFmtId="164" fontId="6" fillId="0" borderId="0" xfId="2" applyNumberFormat="1" applyFont="1"/>
    <xf numFmtId="44" fontId="6" fillId="0" borderId="0" xfId="0" applyNumberFormat="1" applyFont="1"/>
    <xf numFmtId="0" fontId="6" fillId="0" borderId="0" xfId="0" applyFont="1"/>
    <xf numFmtId="44" fontId="10" fillId="2" borderId="0" xfId="1" applyFont="1" applyFill="1"/>
    <xf numFmtId="0" fontId="7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165" fontId="12" fillId="0" borderId="0" xfId="1" applyNumberFormat="1" applyFont="1"/>
    <xf numFmtId="165" fontId="12" fillId="0" borderId="0" xfId="0" applyNumberFormat="1" applyFont="1"/>
    <xf numFmtId="0" fontId="13" fillId="0" borderId="0" xfId="0" applyFont="1"/>
  </cellXfs>
  <cellStyles count="3">
    <cellStyle name="Currency" xfId="1" builtinId="4"/>
    <cellStyle name="Normal" xfId="0" builtinId="0"/>
    <cellStyle name="Per cent" xfId="2" builtinId="5"/>
  </cellStyles>
  <dxfs count="40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Dashboard!$B$49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Dashboard!$B$50:$B$56</c:f>
              <c:numCache>
                <c:formatCode>_("$"* #,##0_);_("$"* \(#,##0\);_("$"* "-"??_);_(@_)</c:formatCode>
                <c:ptCount val="7"/>
                <c:pt idx="0">
                  <c:v>299273.09999999998</c:v>
                </c:pt>
                <c:pt idx="1">
                  <c:v>299273.09999999998</c:v>
                </c:pt>
                <c:pt idx="2">
                  <c:v>249394.25</c:v>
                </c:pt>
                <c:pt idx="3">
                  <c:v>24939.425000000003</c:v>
                </c:pt>
                <c:pt idx="4">
                  <c:v>24939.425000000003</c:v>
                </c:pt>
                <c:pt idx="5">
                  <c:v>29927.309999999998</c:v>
                </c:pt>
                <c:pt idx="6">
                  <c:v>69830.39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Dashboard!$C$49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Dashboard!$C$50:$C$56</c:f>
              <c:numCache>
                <c:formatCode>_("$"* #,##0_);_("$"* \(#,##0\);_("$"* "-"??_);_(@_)</c:formatCode>
                <c:ptCount val="7"/>
                <c:pt idx="0">
                  <c:v>425631.65714999998</c:v>
                </c:pt>
                <c:pt idx="1">
                  <c:v>121670.56</c:v>
                </c:pt>
                <c:pt idx="2">
                  <c:v>139180</c:v>
                </c:pt>
                <c:pt idx="3">
                  <c:v>34190.832800000004</c:v>
                </c:pt>
                <c:pt idx="4">
                  <c:v>4540</c:v>
                </c:pt>
                <c:pt idx="5">
                  <c:v>26101.25532</c:v>
                </c:pt>
                <c:pt idx="6">
                  <c:v>249197.82785991702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22</xdr:row>
      <xdr:rowOff>101600</xdr:rowOff>
    </xdr:from>
    <xdr:to>
      <xdr:col>4</xdr:col>
      <xdr:colOff>1219200</xdr:colOff>
      <xdr:row>46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sktop/timeless-workspace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U1" t="str">
            <v>PositionValueUSD</v>
          </cell>
        </row>
        <row r="2">
          <cell r="D2" t="str">
            <v>STK</v>
          </cell>
          <cell r="F2" t="str">
            <v>82846</v>
          </cell>
          <cell r="T2" t="str">
            <v>Long</v>
          </cell>
          <cell r="U2">
            <v>4551.7582000000002</v>
          </cell>
        </row>
        <row r="3">
          <cell r="D3" t="str">
            <v>STK</v>
          </cell>
          <cell r="F3" t="str">
            <v>RMS</v>
          </cell>
          <cell r="T3" t="str">
            <v>Long</v>
          </cell>
          <cell r="U3">
            <v>7345.166400000001</v>
          </cell>
        </row>
        <row r="4">
          <cell r="D4" t="str">
            <v>STK</v>
          </cell>
          <cell r="F4" t="str">
            <v>ES3</v>
          </cell>
          <cell r="T4" t="str">
            <v>Long</v>
          </cell>
          <cell r="U4">
            <v>19083.758849999998</v>
          </cell>
        </row>
        <row r="5">
          <cell r="D5" t="str">
            <v>STK</v>
          </cell>
          <cell r="F5" t="str">
            <v>GSD</v>
          </cell>
          <cell r="T5" t="str">
            <v>Long</v>
          </cell>
          <cell r="U5">
            <v>21751.0461</v>
          </cell>
        </row>
        <row r="6">
          <cell r="D6" t="str">
            <v>STK</v>
          </cell>
          <cell r="F6" t="str">
            <v>AMZN</v>
          </cell>
          <cell r="T6" t="str">
            <v>Long</v>
          </cell>
          <cell r="U6">
            <v>23100</v>
          </cell>
        </row>
        <row r="7">
          <cell r="D7" t="str">
            <v>STK</v>
          </cell>
          <cell r="F7" t="str">
            <v>BITO</v>
          </cell>
          <cell r="T7" t="str">
            <v>Long</v>
          </cell>
          <cell r="U7">
            <v>1242</v>
          </cell>
        </row>
        <row r="8">
          <cell r="D8" t="str">
            <v>STK</v>
          </cell>
          <cell r="F8" t="str">
            <v>CELH</v>
          </cell>
          <cell r="T8" t="str">
            <v>Long</v>
          </cell>
          <cell r="U8">
            <v>2834.5</v>
          </cell>
        </row>
        <row r="9">
          <cell r="D9" t="str">
            <v>STK</v>
          </cell>
          <cell r="F9" t="str">
            <v>CHA</v>
          </cell>
          <cell r="T9" t="str">
            <v>Long</v>
          </cell>
          <cell r="U9">
            <v>1209</v>
          </cell>
        </row>
        <row r="10">
          <cell r="D10" t="str">
            <v>STK</v>
          </cell>
          <cell r="F10" t="str">
            <v>CSNDX</v>
          </cell>
          <cell r="T10" t="str">
            <v>Long</v>
          </cell>
          <cell r="U10">
            <v>14474</v>
          </cell>
        </row>
        <row r="11">
          <cell r="D11" t="str">
            <v>STK</v>
          </cell>
          <cell r="F11" t="str">
            <v>CTEC</v>
          </cell>
          <cell r="T11" t="str">
            <v>Long</v>
          </cell>
          <cell r="U11">
            <v>10788</v>
          </cell>
        </row>
        <row r="12">
          <cell r="D12" t="str">
            <v>STK</v>
          </cell>
          <cell r="F12" t="str">
            <v>GOOGL</v>
          </cell>
          <cell r="T12" t="str">
            <v>Long</v>
          </cell>
          <cell r="U12">
            <v>32200</v>
          </cell>
        </row>
        <row r="13">
          <cell r="D13" t="str">
            <v>STK</v>
          </cell>
          <cell r="F13" t="str">
            <v>GRAB</v>
          </cell>
          <cell r="T13" t="str">
            <v>Long</v>
          </cell>
          <cell r="U13">
            <v>2255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U14">
            <v>9335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U15">
            <v>9947.2800000000007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U16">
            <v>1682.5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U17">
            <v>9975.5</v>
          </cell>
        </row>
        <row r="18">
          <cell r="D18" t="str">
            <v>STK</v>
          </cell>
          <cell r="F18" t="str">
            <v>MELI</v>
          </cell>
          <cell r="T18" t="str">
            <v>Long</v>
          </cell>
          <cell r="U18">
            <v>2034.82</v>
          </cell>
        </row>
        <row r="19">
          <cell r="D19" t="str">
            <v>STK</v>
          </cell>
          <cell r="F19" t="str">
            <v>NVDA</v>
          </cell>
          <cell r="T19" t="str">
            <v>Long</v>
          </cell>
          <cell r="U19">
            <v>35614</v>
          </cell>
        </row>
        <row r="20">
          <cell r="D20" t="str">
            <v>STK</v>
          </cell>
          <cell r="F20" t="str">
            <v>ORCL</v>
          </cell>
          <cell r="T20" t="str">
            <v>Long</v>
          </cell>
          <cell r="U20">
            <v>17992</v>
          </cell>
        </row>
        <row r="21">
          <cell r="D21" t="str">
            <v>STK</v>
          </cell>
          <cell r="F21" t="str">
            <v>SE</v>
          </cell>
          <cell r="T21" t="str">
            <v>Long</v>
          </cell>
          <cell r="U21">
            <v>1212.2</v>
          </cell>
        </row>
        <row r="22">
          <cell r="D22" t="str">
            <v>STK</v>
          </cell>
          <cell r="F22" t="str">
            <v>VWRA</v>
          </cell>
          <cell r="T22" t="str">
            <v>Long</v>
          </cell>
          <cell r="U22">
            <v>103248</v>
          </cell>
        </row>
        <row r="23">
          <cell r="D23" t="str">
            <v>FOP</v>
          </cell>
          <cell r="F23" t="str">
            <v>EW2G6 P6525</v>
          </cell>
          <cell r="T23" t="str">
            <v>Long</v>
          </cell>
          <cell r="U23">
            <v>4450</v>
          </cell>
        </row>
        <row r="24">
          <cell r="D24" t="str">
            <v>FOP</v>
          </cell>
          <cell r="F24" t="str">
            <v>EW2G6 C7300</v>
          </cell>
          <cell r="T24" t="str">
            <v>Long</v>
          </cell>
          <cell r="U24">
            <v>90</v>
          </cell>
        </row>
        <row r="25">
          <cell r="D25" t="str">
            <v>OPT</v>
          </cell>
          <cell r="F25" t="str">
            <v>AMZN  260220P00215000</v>
          </cell>
          <cell r="T25" t="str">
            <v>Short</v>
          </cell>
          <cell r="U25">
            <v>-482.5</v>
          </cell>
        </row>
        <row r="26">
          <cell r="D26" t="str">
            <v>OPT</v>
          </cell>
          <cell r="F26" t="str">
            <v>AMZN  260227C00255000</v>
          </cell>
          <cell r="T26" t="str">
            <v>Short</v>
          </cell>
          <cell r="U26">
            <v>-352.5</v>
          </cell>
        </row>
        <row r="27">
          <cell r="D27" t="str">
            <v>OPT</v>
          </cell>
          <cell r="F27" t="str">
            <v>GOOGL 260227P00310000</v>
          </cell>
          <cell r="T27" t="str">
            <v>Short</v>
          </cell>
          <cell r="U27">
            <v>-958.76</v>
          </cell>
        </row>
        <row r="28">
          <cell r="D28" t="str">
            <v>OPT</v>
          </cell>
          <cell r="F28" t="str">
            <v>GOOGL 260227C00370000</v>
          </cell>
          <cell r="T28" t="str">
            <v>Short</v>
          </cell>
          <cell r="U28">
            <v>-234.5</v>
          </cell>
        </row>
        <row r="29">
          <cell r="D29" t="str">
            <v>OPT</v>
          </cell>
          <cell r="F29" t="str">
            <v>JPM   260206P00300000</v>
          </cell>
          <cell r="T29" t="str">
            <v>Short</v>
          </cell>
          <cell r="U29">
            <v>-530</v>
          </cell>
        </row>
        <row r="30">
          <cell r="D30" t="str">
            <v>OPT</v>
          </cell>
          <cell r="F30" t="str">
            <v>NVDA  260130C00195000</v>
          </cell>
          <cell r="T30" t="str">
            <v>Short</v>
          </cell>
          <cell r="U30">
            <v>-110</v>
          </cell>
        </row>
        <row r="31">
          <cell r="D31" t="str">
            <v>OPT</v>
          </cell>
          <cell r="F31" t="str">
            <v>ORCL  260123C00195000</v>
          </cell>
          <cell r="T31" t="str">
            <v>Short</v>
          </cell>
          <cell r="U31">
            <v>-29.5</v>
          </cell>
        </row>
        <row r="32">
          <cell r="D32" t="str">
            <v>FOP</v>
          </cell>
          <cell r="F32" t="str">
            <v>EW2G6 P6625</v>
          </cell>
          <cell r="T32" t="str">
            <v>Short</v>
          </cell>
          <cell r="U32">
            <v>-6075</v>
          </cell>
        </row>
        <row r="33">
          <cell r="D33" t="str">
            <v>FOP</v>
          </cell>
          <cell r="F33" t="str">
            <v>EW2G6 C7200</v>
          </cell>
          <cell r="T33" t="str">
            <v>Short</v>
          </cell>
          <cell r="U33">
            <v>-320</v>
          </cell>
        </row>
        <row r="34">
          <cell r="D34" t="str">
            <v>CASH</v>
          </cell>
          <cell r="F34" t="str">
            <v>USD</v>
          </cell>
          <cell r="T34" t="str">
            <v>Long</v>
          </cell>
          <cell r="U34">
            <v>112742.88745569601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U1" t="str">
            <v>PositionValueUSD</v>
          </cell>
        </row>
        <row r="2">
          <cell r="D2" t="str">
            <v>STK</v>
          </cell>
          <cell r="F2" t="str">
            <v>DHL</v>
          </cell>
          <cell r="T2" t="str">
            <v>Long</v>
          </cell>
          <cell r="U2">
            <v>54127.216000000008</v>
          </cell>
        </row>
        <row r="3">
          <cell r="D3" t="str">
            <v>STK</v>
          </cell>
          <cell r="F3" t="str">
            <v>MC</v>
          </cell>
          <cell r="T3" t="str">
            <v>Long</v>
          </cell>
          <cell r="U3">
            <v>3341.91</v>
          </cell>
        </row>
        <row r="4">
          <cell r="D4" t="str">
            <v>STK</v>
          </cell>
          <cell r="F4" t="str">
            <v>RMS</v>
          </cell>
          <cell r="T4" t="str">
            <v>Long</v>
          </cell>
          <cell r="U4">
            <v>7345.166400000001</v>
          </cell>
        </row>
        <row r="5">
          <cell r="D5" t="str">
            <v>STK</v>
          </cell>
          <cell r="F5" t="str">
            <v>VWCE</v>
          </cell>
          <cell r="T5" t="str">
            <v>Long</v>
          </cell>
          <cell r="U5">
            <v>68789.406400000007</v>
          </cell>
        </row>
        <row r="6">
          <cell r="D6" t="str">
            <v>STK</v>
          </cell>
          <cell r="F6" t="str">
            <v>ES3</v>
          </cell>
          <cell r="T6" t="str">
            <v>Long</v>
          </cell>
          <cell r="U6">
            <v>38167.517699999997</v>
          </cell>
        </row>
        <row r="7">
          <cell r="D7" t="str">
            <v>STK</v>
          </cell>
          <cell r="F7" t="str">
            <v>GSD</v>
          </cell>
          <cell r="T7" t="str">
            <v>Long</v>
          </cell>
          <cell r="U7">
            <v>4350.2092199999997</v>
          </cell>
        </row>
        <row r="8">
          <cell r="D8" t="str">
            <v>STK</v>
          </cell>
          <cell r="F8" t="str">
            <v>BITO</v>
          </cell>
          <cell r="T8" t="str">
            <v>Long</v>
          </cell>
          <cell r="U8">
            <v>2484</v>
          </cell>
        </row>
        <row r="9">
          <cell r="D9" t="str">
            <v>STK</v>
          </cell>
          <cell r="F9" t="str">
            <v>CSNDX</v>
          </cell>
          <cell r="T9" t="str">
            <v>Long</v>
          </cell>
          <cell r="U9">
            <v>21711</v>
          </cell>
        </row>
        <row r="10">
          <cell r="D10" t="str">
            <v>STK</v>
          </cell>
          <cell r="F10" t="str">
            <v>CTEC</v>
          </cell>
          <cell r="T10" t="str">
            <v>Long</v>
          </cell>
          <cell r="U10">
            <v>16182</v>
          </cell>
        </row>
        <row r="11">
          <cell r="D11" t="str">
            <v>STK</v>
          </cell>
          <cell r="F11" t="str">
            <v>HEAL</v>
          </cell>
          <cell r="T11" t="str">
            <v>Long</v>
          </cell>
          <cell r="U11">
            <v>9335</v>
          </cell>
        </row>
        <row r="12">
          <cell r="D12" t="str">
            <v>STK</v>
          </cell>
          <cell r="F12" t="str">
            <v>IBKR</v>
          </cell>
          <cell r="T12" t="str">
            <v>Long</v>
          </cell>
          <cell r="U12">
            <v>1204.57</v>
          </cell>
        </row>
        <row r="13">
          <cell r="D13" t="str">
            <v>STK</v>
          </cell>
          <cell r="F13" t="str">
            <v>INRA</v>
          </cell>
          <cell r="T13" t="str">
            <v>Long</v>
          </cell>
          <cell r="U13">
            <v>9947.2800000000007</v>
          </cell>
        </row>
        <row r="14">
          <cell r="D14" t="str">
            <v>STK</v>
          </cell>
          <cell r="F14" t="str">
            <v>JPM</v>
          </cell>
          <cell r="T14" t="str">
            <v>Long</v>
          </cell>
          <cell r="U14">
            <v>30274</v>
          </cell>
        </row>
        <row r="15">
          <cell r="D15" t="str">
            <v>STK</v>
          </cell>
          <cell r="F15" t="str">
            <v>LOCK</v>
          </cell>
          <cell r="T15" t="str">
            <v>Long</v>
          </cell>
          <cell r="U15">
            <v>9975.5</v>
          </cell>
        </row>
        <row r="16">
          <cell r="D16" t="str">
            <v>STK</v>
          </cell>
          <cell r="F16" t="str">
            <v>VWRA</v>
          </cell>
          <cell r="T16" t="str">
            <v>Long</v>
          </cell>
          <cell r="U16">
            <v>137664</v>
          </cell>
        </row>
        <row r="17">
          <cell r="D17" t="str">
            <v>OPT</v>
          </cell>
          <cell r="F17" t="str">
            <v>GOOGL 260130P00310000</v>
          </cell>
          <cell r="T17" t="str">
            <v>Short</v>
          </cell>
          <cell r="U17">
            <v>-268.5</v>
          </cell>
        </row>
        <row r="18">
          <cell r="D18" t="str">
            <v>OPT</v>
          </cell>
          <cell r="F18" t="str">
            <v>JPM   260130C00325000</v>
          </cell>
          <cell r="T18" t="str">
            <v>Short</v>
          </cell>
          <cell r="U18">
            <v>-32.6</v>
          </cell>
        </row>
        <row r="19">
          <cell r="D19" t="str">
            <v>OPT</v>
          </cell>
          <cell r="F19" t="str">
            <v>QQQ   260130P00608000</v>
          </cell>
          <cell r="T19" t="str">
            <v>Short</v>
          </cell>
          <cell r="U19">
            <v>-949</v>
          </cell>
        </row>
        <row r="20">
          <cell r="D20" t="str">
            <v>CASH</v>
          </cell>
          <cell r="F20" t="str">
            <v>USD</v>
          </cell>
          <cell r="T20" t="str">
            <v>Long</v>
          </cell>
          <cell r="U20">
            <v>136454.94040422101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showGridLines="0" tabSelected="1" workbookViewId="0">
      <selection activeCell="H22" sqref="H22"/>
    </sheetView>
  </sheetViews>
  <sheetFormatPr baseColWidth="10" defaultColWidth="38.6640625" defaultRowHeight="16" x14ac:dyDescent="0.2"/>
  <cols>
    <col min="1" max="1" width="47.83203125" style="1" bestFit="1" customWidth="1"/>
    <col min="2" max="2" width="17.6640625" style="1" bestFit="1" customWidth="1"/>
    <col min="3" max="3" width="27.1640625" style="1" bestFit="1" customWidth="1"/>
    <col min="4" max="5" width="23.5" style="1" bestFit="1" customWidth="1"/>
    <col min="6" max="6" width="15.1640625" style="1" bestFit="1" customWidth="1"/>
    <col min="7" max="8" width="23.5" style="1" bestFit="1" customWidth="1"/>
    <col min="9" max="9" width="14" style="1" bestFit="1" customWidth="1"/>
    <col min="10" max="10" width="23.5" style="1" bestFit="1" customWidth="1"/>
    <col min="11" max="11" width="14.83203125" style="1" bestFit="1" customWidth="1"/>
    <col min="12" max="12" width="23.5" style="1" bestFit="1" customWidth="1"/>
    <col min="13" max="13" width="163.83203125" style="1" customWidth="1"/>
    <col min="14" max="14" width="38.6640625" style="1" customWidth="1"/>
    <col min="15" max="16384" width="38.6640625" style="1"/>
  </cols>
  <sheetData>
    <row r="1" spans="1:13" x14ac:dyDescent="0.2">
      <c r="D1" s="1" t="s">
        <v>0</v>
      </c>
      <c r="G1" s="1" t="s">
        <v>1</v>
      </c>
    </row>
    <row r="2" spans="1:13" x14ac:dyDescent="0.2">
      <c r="A2" s="1" t="s">
        <v>2</v>
      </c>
      <c r="B2" s="14">
        <v>1</v>
      </c>
      <c r="C2" s="13">
        <f>D2+G2</f>
        <v>997577</v>
      </c>
      <c r="D2" s="22">
        <v>444722</v>
      </c>
      <c r="E2" s="13"/>
      <c r="F2" s="13"/>
      <c r="G2" s="22">
        <v>552855</v>
      </c>
      <c r="H2" s="13"/>
      <c r="I2" s="13"/>
    </row>
    <row r="3" spans="1:13" x14ac:dyDescent="0.2">
      <c r="A3" s="2" t="s">
        <v>3</v>
      </c>
      <c r="B3" s="35" t="s">
        <v>4</v>
      </c>
      <c r="C3" s="35" t="s">
        <v>5</v>
      </c>
      <c r="D3" s="35" t="s">
        <v>5</v>
      </c>
      <c r="E3" s="35" t="s">
        <v>6</v>
      </c>
      <c r="F3" s="35" t="s">
        <v>7</v>
      </c>
      <c r="G3" s="35" t="s">
        <v>5</v>
      </c>
      <c r="H3" s="35" t="s">
        <v>8</v>
      </c>
      <c r="I3" s="35" t="s">
        <v>9</v>
      </c>
      <c r="J3" s="35" t="s">
        <v>10</v>
      </c>
      <c r="K3" s="35" t="s">
        <v>11</v>
      </c>
      <c r="L3" s="35" t="s">
        <v>12</v>
      </c>
      <c r="M3" s="23" t="s">
        <v>13</v>
      </c>
    </row>
    <row r="4" spans="1:13" ht="17" x14ac:dyDescent="0.2">
      <c r="A4" s="23" t="s">
        <v>176</v>
      </c>
      <c r="B4" s="24">
        <v>0.3</v>
      </c>
      <c r="C4" s="19">
        <f>$C$2*B4</f>
        <v>299273.09999999998</v>
      </c>
      <c r="D4" s="19">
        <f>$D$2*B4</f>
        <v>133416.6</v>
      </c>
      <c r="E4" s="19" cm="1">
        <f t="array" ref="E4">SUMPRODUCT(SUMIFS([1]PositionsHK!U:U,[1]PositionsHK!F:F,GlobalETF!A:A))</f>
        <v>126883.51704999999</v>
      </c>
      <c r="F4" s="20">
        <f>E4/D4</f>
        <v>0.95103245810491344</v>
      </c>
      <c r="G4" s="19">
        <f>$G$2*B4</f>
        <v>165856.5</v>
      </c>
      <c r="H4" s="19" cm="1">
        <f t="array" ref="H4">SUMPRODUCT(SUMIFS([1]PositionsAL!U:U,[1]PositionsAL!F:F,GlobalETF!A:A))</f>
        <v>298748.14010000002</v>
      </c>
      <c r="I4" s="20">
        <f>H4/G4</f>
        <v>1.801244691043161</v>
      </c>
      <c r="J4" s="25">
        <f t="shared" ref="J4:J21" si="0">E4+H4</f>
        <v>425631.65714999998</v>
      </c>
      <c r="K4" s="20">
        <f t="shared" ref="K4:K21" si="1">J4/C4</f>
        <v>1.4222182252598046</v>
      </c>
      <c r="L4" s="19">
        <f t="shared" ref="L4:L21" si="2">J4-C4</f>
        <v>126358.55715000001</v>
      </c>
      <c r="M4" s="34" t="s">
        <v>178</v>
      </c>
    </row>
    <row r="5" spans="1:13" x14ac:dyDescent="0.2">
      <c r="A5" s="21" t="s">
        <v>179</v>
      </c>
      <c r="B5" s="26">
        <v>0.1</v>
      </c>
      <c r="C5" s="17">
        <f>$C$4*B5</f>
        <v>29927.309999999998</v>
      </c>
      <c r="D5" s="17">
        <f>$D$4*B5</f>
        <v>13341.660000000002</v>
      </c>
      <c r="E5" s="17">
        <f>SUMIFS([1]PositionsHK!U:U,[1]PositionsHK!F:F,"82846")</f>
        <v>4551.7582000000002</v>
      </c>
      <c r="F5" s="18">
        <f>E5/D5</f>
        <v>0.34116880508122677</v>
      </c>
      <c r="G5" s="17">
        <f>$G$4*B5</f>
        <v>16585.650000000001</v>
      </c>
      <c r="H5" s="17">
        <f>SUMIFS([1]PositionsAL!U:U,[1]PositionsAL!F:F,"82846")</f>
        <v>0</v>
      </c>
      <c r="I5" s="18">
        <f>H5/G5</f>
        <v>0</v>
      </c>
      <c r="J5" s="27">
        <f t="shared" ref="J5:J7" si="3">E5+H5</f>
        <v>4551.7582000000002</v>
      </c>
      <c r="K5" s="18">
        <f t="shared" ref="K5:K7" si="4">J5/C5</f>
        <v>0.15209379660250122</v>
      </c>
      <c r="L5" s="17">
        <f t="shared" ref="L5:L7" si="5">J5-C5</f>
        <v>-25375.551799999997</v>
      </c>
      <c r="M5" s="28"/>
    </row>
    <row r="6" spans="1:13" x14ac:dyDescent="0.2">
      <c r="A6" s="21" t="s">
        <v>180</v>
      </c>
      <c r="B6" s="26">
        <v>0.2</v>
      </c>
      <c r="C6" s="17">
        <f t="shared" ref="C6:C9" si="6">$C$4*B6</f>
        <v>59854.619999999995</v>
      </c>
      <c r="D6" s="17">
        <f t="shared" ref="D6:D9" si="7">$D$4*B6</f>
        <v>26683.320000000003</v>
      </c>
      <c r="E6" s="17">
        <f>SUMIFS([1]PositionsHK!U:U,[1]PositionsHK!F:F,"DHL")</f>
        <v>0</v>
      </c>
      <c r="F6" s="18">
        <f t="shared" ref="F6:F7" si="8">E6/D6</f>
        <v>0</v>
      </c>
      <c r="G6" s="17">
        <f t="shared" ref="G6:G9" si="9">$G$4*B6</f>
        <v>33171.300000000003</v>
      </c>
      <c r="H6" s="17">
        <f>SUMIFS([1]PositionsAL!U:U,[1]PositionsAL!F:F,"DHL")</f>
        <v>54127.216000000008</v>
      </c>
      <c r="I6" s="18">
        <f t="shared" ref="I6:I7" si="10">H6/G6</f>
        <v>1.631748409016228</v>
      </c>
      <c r="J6" s="27">
        <f t="shared" si="3"/>
        <v>54127.216000000008</v>
      </c>
      <c r="K6" s="18">
        <f t="shared" si="4"/>
        <v>0.90431141322090114</v>
      </c>
      <c r="L6" s="17">
        <f t="shared" si="5"/>
        <v>-5727.4039999999877</v>
      </c>
      <c r="M6" s="28"/>
    </row>
    <row r="7" spans="1:13" x14ac:dyDescent="0.2">
      <c r="A7" s="21" t="s">
        <v>181</v>
      </c>
      <c r="B7" s="26">
        <v>0.2</v>
      </c>
      <c r="C7" s="17">
        <f t="shared" si="6"/>
        <v>59854.619999999995</v>
      </c>
      <c r="D7" s="17">
        <f t="shared" si="7"/>
        <v>26683.320000000003</v>
      </c>
      <c r="E7" s="17">
        <f>SUMIFS([1]PositionsHK!U:U,[1]PositionsHK!F:F,"ES3")</f>
        <v>19083.758849999998</v>
      </c>
      <c r="F7" s="18">
        <f t="shared" si="8"/>
        <v>0.71519431802339428</v>
      </c>
      <c r="G7" s="17">
        <f t="shared" si="9"/>
        <v>33171.300000000003</v>
      </c>
      <c r="H7" s="17">
        <f>SUMIFS([1]PositionsAL!U:U,[1]PositionsAL!F:F,"ES3")</f>
        <v>38167.517699999997</v>
      </c>
      <c r="I7" s="18">
        <f t="shared" si="10"/>
        <v>1.1506186884445286</v>
      </c>
      <c r="J7" s="27">
        <f t="shared" si="3"/>
        <v>57251.276549999995</v>
      </c>
      <c r="K7" s="18">
        <f t="shared" si="4"/>
        <v>0.95650555546088167</v>
      </c>
      <c r="L7" s="17">
        <f t="shared" si="5"/>
        <v>-2603.3434500000003</v>
      </c>
      <c r="M7" s="28"/>
    </row>
    <row r="8" spans="1:13" x14ac:dyDescent="0.2">
      <c r="A8" s="21" t="s">
        <v>182</v>
      </c>
      <c r="B8" s="26">
        <v>0.25</v>
      </c>
      <c r="C8" s="17">
        <f t="shared" si="6"/>
        <v>74818.274999999994</v>
      </c>
      <c r="D8" s="17">
        <f t="shared" si="7"/>
        <v>33354.15</v>
      </c>
      <c r="E8" s="17">
        <f>SUMIFS([1]PositionsHK!U:U,[1]PositionsHK!F:F,"VWRA")</f>
        <v>103248</v>
      </c>
      <c r="F8" s="18">
        <f>E8/D8</f>
        <v>3.0955068559684475</v>
      </c>
      <c r="G8" s="17">
        <f t="shared" si="9"/>
        <v>41464.125</v>
      </c>
      <c r="H8" s="17">
        <f>SUMIFS([1]PositionsAL!U:U,[1]PositionsAL!F:F,"VWRA")</f>
        <v>137664</v>
      </c>
      <c r="I8" s="18">
        <f>H8/G8</f>
        <v>3.3200748840111785</v>
      </c>
      <c r="J8" s="27">
        <f>E8+H8</f>
        <v>240912</v>
      </c>
      <c r="K8" s="18">
        <f>J8/C8</f>
        <v>3.2199619678480964</v>
      </c>
      <c r="L8" s="17">
        <f>J8-C8</f>
        <v>166093.72500000001</v>
      </c>
      <c r="M8" s="28"/>
    </row>
    <row r="9" spans="1:13" x14ac:dyDescent="0.2">
      <c r="A9" s="21" t="s">
        <v>183</v>
      </c>
      <c r="B9" s="26">
        <v>0.25</v>
      </c>
      <c r="C9" s="17">
        <f t="shared" si="6"/>
        <v>74818.274999999994</v>
      </c>
      <c r="D9" s="17">
        <f t="shared" si="7"/>
        <v>33354.15</v>
      </c>
      <c r="E9" s="17">
        <f>SUMIFS([1]PositionsHK!U:U,[1]PositionsHK!F:F,"VWCE")</f>
        <v>0</v>
      </c>
      <c r="F9" s="18">
        <f>E9/D9</f>
        <v>0</v>
      </c>
      <c r="G9" s="17">
        <f t="shared" si="9"/>
        <v>41464.125</v>
      </c>
      <c r="H9" s="17">
        <f>SUMIFS([1]PositionsAL!U:U,[1]PositionsAL!F:F,"VWCE")</f>
        <v>68789.406400000007</v>
      </c>
      <c r="I9" s="18">
        <f>H9/G9</f>
        <v>1.6590102021928597</v>
      </c>
      <c r="J9" s="27">
        <f>E9+H9</f>
        <v>68789.406400000007</v>
      </c>
      <c r="K9" s="18">
        <f>J9/C9</f>
        <v>0.91941983960469564</v>
      </c>
      <c r="L9" s="17">
        <f>J9-C9</f>
        <v>-6028.8685999999871</v>
      </c>
      <c r="M9" s="28"/>
    </row>
    <row r="10" spans="1:13" x14ac:dyDescent="0.2">
      <c r="A10" s="23" t="s">
        <v>14</v>
      </c>
      <c r="B10" s="24">
        <v>0.3</v>
      </c>
      <c r="C10" s="19">
        <f>$C$2*B10</f>
        <v>299273.09999999998</v>
      </c>
      <c r="D10" s="19">
        <f>$D$2*B10</f>
        <v>133416.6</v>
      </c>
      <c r="E10" s="19">
        <f>E11+E12+E13+E15+E14</f>
        <v>54519.78</v>
      </c>
      <c r="F10" s="20">
        <f>E10/D10</f>
        <v>0.40864315235135656</v>
      </c>
      <c r="G10" s="19">
        <f>$G$2*B10</f>
        <v>165856.5</v>
      </c>
      <c r="H10" s="19">
        <f>H11+H12+H13+H15+H14</f>
        <v>67150.78</v>
      </c>
      <c r="I10" s="20">
        <f>H10/G10</f>
        <v>0.40487276651804421</v>
      </c>
      <c r="J10" s="25">
        <f>E10+H10</f>
        <v>121670.56</v>
      </c>
      <c r="K10" s="18">
        <f>J10/C10</f>
        <v>0.40655361273699508</v>
      </c>
      <c r="L10" s="19">
        <f t="shared" si="2"/>
        <v>-177602.53999999998</v>
      </c>
    </row>
    <row r="11" spans="1:13" x14ac:dyDescent="0.2">
      <c r="A11" s="21" t="s">
        <v>15</v>
      </c>
      <c r="B11" s="26">
        <v>0.45</v>
      </c>
      <c r="C11" s="17">
        <f>$C$10*B11</f>
        <v>134672.89499999999</v>
      </c>
      <c r="D11" s="17">
        <f t="shared" ref="D11:D15" si="11">$D$10*B11</f>
        <v>60037.47</v>
      </c>
      <c r="E11" s="17">
        <f>SUMIFS([1]PositionsHK!U:U,[1]PositionsHK!F:F,"CSNDX")</f>
        <v>14474</v>
      </c>
      <c r="F11" s="18">
        <f>E11/D11</f>
        <v>0.24108277713901002</v>
      </c>
      <c r="G11" s="17">
        <f t="shared" ref="G11:G15" si="12">$G$10*B11</f>
        <v>74635.425000000003</v>
      </c>
      <c r="H11" s="17">
        <f>SUMIFS([1]PositionsAL!U:U,[1]PositionsAL!F:F,"CSNDX")</f>
        <v>21711</v>
      </c>
      <c r="I11" s="18">
        <f>H11/G11</f>
        <v>0.29089403590855145</v>
      </c>
      <c r="J11" s="27">
        <f t="shared" si="0"/>
        <v>36185</v>
      </c>
      <c r="K11" s="18">
        <f t="shared" si="1"/>
        <v>0.2686880682263495</v>
      </c>
      <c r="L11" s="17">
        <f t="shared" si="2"/>
        <v>-98487.89499999999</v>
      </c>
      <c r="M11" s="28"/>
    </row>
    <row r="12" spans="1:13" x14ac:dyDescent="0.2">
      <c r="A12" s="21" t="s">
        <v>17</v>
      </c>
      <c r="B12" s="26">
        <v>0.2</v>
      </c>
      <c r="C12" s="17">
        <f>$C$10*B12</f>
        <v>59854.619999999995</v>
      </c>
      <c r="D12" s="17">
        <f t="shared" si="11"/>
        <v>26683.320000000003</v>
      </c>
      <c r="E12" s="17">
        <f>SUMIFS([1]PositionsHK!U:U,[1]PositionsHK!F:F,"CTEC")</f>
        <v>10788</v>
      </c>
      <c r="F12" s="18">
        <f t="shared" ref="F12:F15" si="13">E12/D12</f>
        <v>0.40429751620113236</v>
      </c>
      <c r="G12" s="17">
        <f t="shared" si="12"/>
        <v>33171.300000000003</v>
      </c>
      <c r="H12" s="17">
        <f>SUMIFS([1]PositionsAL!U:U,[1]PositionsAL!F:F,"CTEC")</f>
        <v>16182</v>
      </c>
      <c r="I12" s="18">
        <f t="shared" ref="I12:I15" si="14">H12/G12</f>
        <v>0.48783134818352003</v>
      </c>
      <c r="J12" s="27">
        <f t="shared" si="0"/>
        <v>26970</v>
      </c>
      <c r="K12" s="18">
        <f t="shared" si="1"/>
        <v>0.45059178389237126</v>
      </c>
      <c r="L12" s="17">
        <f t="shared" si="2"/>
        <v>-32884.619999999995</v>
      </c>
      <c r="M12" s="28"/>
    </row>
    <row r="13" spans="1:13" x14ac:dyDescent="0.2">
      <c r="A13" s="21" t="s">
        <v>175</v>
      </c>
      <c r="B13" s="26">
        <v>0.1</v>
      </c>
      <c r="C13" s="17">
        <f>$C$10*B13</f>
        <v>29927.309999999998</v>
      </c>
      <c r="D13" s="17">
        <f t="shared" si="11"/>
        <v>13341.660000000002</v>
      </c>
      <c r="E13" s="17">
        <f>SUMIFS([1]PositionsHK!U:U,[1]PositionsHK!F:F,"HEAL")</f>
        <v>9335</v>
      </c>
      <c r="F13" s="18">
        <f t="shared" si="13"/>
        <v>0.69968804481601232</v>
      </c>
      <c r="G13" s="17">
        <f t="shared" si="12"/>
        <v>16585.650000000001</v>
      </c>
      <c r="H13" s="17">
        <f>SUMIFS([1]PositionsAL!U:U,[1]PositionsAL!F:F,"HEAL")</f>
        <v>9335</v>
      </c>
      <c r="I13" s="18">
        <f t="shared" si="14"/>
        <v>0.56283594553122729</v>
      </c>
      <c r="J13" s="27">
        <f t="shared" si="0"/>
        <v>18670</v>
      </c>
      <c r="K13" s="18">
        <f t="shared" si="1"/>
        <v>0.62384490954917104</v>
      </c>
      <c r="L13" s="17">
        <f t="shared" si="2"/>
        <v>-11257.309999999998</v>
      </c>
      <c r="M13" s="28"/>
    </row>
    <row r="14" spans="1:13" x14ac:dyDescent="0.2">
      <c r="A14" s="21" t="s">
        <v>22</v>
      </c>
      <c r="B14" s="26">
        <v>0.1</v>
      </c>
      <c r="C14" s="17">
        <f>$C$10*B14</f>
        <v>29927.309999999998</v>
      </c>
      <c r="D14" s="17">
        <f>$D$10*B14</f>
        <v>13341.660000000002</v>
      </c>
      <c r="E14" s="17">
        <f>SUMIFS([1]PositionsHK!U:U,[1]PositionsHK!F:F,"INRA")</f>
        <v>9947.2800000000007</v>
      </c>
      <c r="F14" s="18">
        <f>E14/D14</f>
        <v>0.7455803850495365</v>
      </c>
      <c r="G14" s="17">
        <f>$G$10*B14</f>
        <v>16585.650000000001</v>
      </c>
      <c r="H14" s="17">
        <f>SUMIFS([1]PositionsAL!U:U,[1]PositionsAL!F:F,"INRA")</f>
        <v>9947.2800000000007</v>
      </c>
      <c r="I14" s="18">
        <f>H14/G14</f>
        <v>0.59975219542194602</v>
      </c>
      <c r="J14" s="27">
        <f>E14+H14</f>
        <v>19894.560000000001</v>
      </c>
      <c r="K14" s="18">
        <f>J14/C14</f>
        <v>0.66476272007073145</v>
      </c>
      <c r="L14" s="17">
        <f>J14-C14</f>
        <v>-10032.749999999996</v>
      </c>
      <c r="M14" s="28"/>
    </row>
    <row r="15" spans="1:13" x14ac:dyDescent="0.2">
      <c r="A15" s="21" t="s">
        <v>20</v>
      </c>
      <c r="B15" s="26">
        <v>0.15</v>
      </c>
      <c r="C15" s="17">
        <f>$C$10*B15</f>
        <v>44890.964999999997</v>
      </c>
      <c r="D15" s="17">
        <f t="shared" si="11"/>
        <v>20012.490000000002</v>
      </c>
      <c r="E15" s="17">
        <f>SUMIFS([1]PositionsHK!U:U,[1]PositionsHK!F:F,"LOCK")</f>
        <v>9975.5</v>
      </c>
      <c r="F15" s="18">
        <f t="shared" si="13"/>
        <v>0.49846370941347123</v>
      </c>
      <c r="G15" s="17">
        <f t="shared" si="12"/>
        <v>24878.474999999999</v>
      </c>
      <c r="H15" s="17">
        <f>SUMIFS([1]PositionsAL!U:U,[1]PositionsAL!F:F,"LOCK")</f>
        <v>9975.5</v>
      </c>
      <c r="I15" s="18">
        <f t="shared" si="14"/>
        <v>0.40096911084783132</v>
      </c>
      <c r="J15" s="27">
        <f t="shared" si="0"/>
        <v>19951</v>
      </c>
      <c r="K15" s="18">
        <f t="shared" si="1"/>
        <v>0.44443241529782224</v>
      </c>
      <c r="L15" s="17">
        <f t="shared" si="2"/>
        <v>-24939.964999999997</v>
      </c>
      <c r="M15" s="28"/>
    </row>
    <row r="16" spans="1:13" x14ac:dyDescent="0.2">
      <c r="A16" s="23" t="s">
        <v>177</v>
      </c>
      <c r="B16" s="24">
        <v>0.25</v>
      </c>
      <c r="C16" s="19">
        <f>$C$2*B16</f>
        <v>249394.25</v>
      </c>
      <c r="D16" s="19">
        <f>$D$2*B16</f>
        <v>111180.5</v>
      </c>
      <c r="E16" s="19" cm="1">
        <f t="array" ref="E16">SUMPRODUCT(SUMIFS([1]PositionsHK!U:U,[1]PositionsHK!F:F,IncomeStrategy!A:A))</f>
        <v>108906</v>
      </c>
      <c r="F16" s="20">
        <f>E16/D16</f>
        <v>0.97954227584873244</v>
      </c>
      <c r="G16" s="19">
        <f>$G$2*B16</f>
        <v>138213.75</v>
      </c>
      <c r="H16" s="19" cm="1">
        <f t="array" ref="H16">SUMPRODUCT(SUMIFS([1]PositionsAL!U:U,[1]PositionsAL!F:F,IncomeStrategy!A:A))</f>
        <v>30274</v>
      </c>
      <c r="I16" s="20">
        <f t="shared" ref="I16:I21" si="15">H16/G16</f>
        <v>0.21903754148917889</v>
      </c>
      <c r="J16" s="25">
        <f t="shared" si="0"/>
        <v>139180</v>
      </c>
      <c r="K16" s="20">
        <f t="shared" si="1"/>
        <v>0.55807220896231569</v>
      </c>
      <c r="L16" s="19">
        <f t="shared" si="2"/>
        <v>-110214.25</v>
      </c>
    </row>
    <row r="17" spans="1:13" x14ac:dyDescent="0.2">
      <c r="A17" s="23" t="s">
        <v>172</v>
      </c>
      <c r="B17" s="24">
        <v>0.05</v>
      </c>
      <c r="C17" s="19">
        <f>$C$2*B17</f>
        <v>49878.850000000006</v>
      </c>
      <c r="D17" s="19">
        <f>$D$2*B17</f>
        <v>22236.100000000002</v>
      </c>
      <c r="E17" s="19">
        <f>E18+E19</f>
        <v>24355.186399999984</v>
      </c>
      <c r="F17" s="20">
        <f>E17/D17</f>
        <v>1.0952993735412226</v>
      </c>
      <c r="G17" s="19">
        <f>$G$2*B17</f>
        <v>27642.75</v>
      </c>
      <c r="H17" s="19">
        <f>H18+H19</f>
        <v>14375.646400000016</v>
      </c>
      <c r="I17" s="20">
        <f>H17/G17</f>
        <v>0.52005123947508902</v>
      </c>
      <c r="J17" s="25">
        <f>E17+H17</f>
        <v>38730.832800000004</v>
      </c>
      <c r="K17" s="20">
        <f t="shared" si="1"/>
        <v>0.77649811092276588</v>
      </c>
      <c r="L17" s="19">
        <f t="shared" si="2"/>
        <v>-11148.017200000002</v>
      </c>
    </row>
    <row r="18" spans="1:13" x14ac:dyDescent="0.2">
      <c r="A18" s="21" t="s">
        <v>173</v>
      </c>
      <c r="B18" s="29">
        <v>0.5</v>
      </c>
      <c r="C18" s="15">
        <f>$C$17*B18</f>
        <v>24939.425000000003</v>
      </c>
      <c r="D18" s="15">
        <f>$D$17*B18</f>
        <v>11118.050000000001</v>
      </c>
      <c r="E18" s="15" cm="1">
        <f t="array" ref="E18">SUMIFS([1]PositionsHK!U:U,[1]PositionsHK!D:D,"STK")-SUMPRODUCT(SUMIFS([1]PositionsHK!U:U,[1]PositionsHK!D:D,"STK",[1]PositionsHK!F:F,GlobalETF!A:A))-SUMPRODUCT(SUMIFS([1]PositionsHK!U:U,[1]PositionsHK!D:D,"STK",[1]PositionsHK!F:F,GrowthEngine!A:A))-SUMPRODUCT(SUMIFS([1]PositionsHK!U:U,[1]PositionsHK!D:D,"STK",[1]PositionsHK!F:F,IncomeStrategy!A:A))-SUMPRODUCT(SUMIFS([1]PositionsHK!U:U,[1]PositionsHK!D:D,"STK",[1]PositionsHK!F:F,Gold!A:A))</f>
        <v>19815.186399999984</v>
      </c>
      <c r="F18" s="16">
        <f t="shared" ref="F18:F21" si="16">E18/G18</f>
        <v>1.4336624539888385</v>
      </c>
      <c r="G18" s="15">
        <f>$G$17*B18</f>
        <v>13821.375</v>
      </c>
      <c r="H18" s="15" cm="1">
        <f t="array" ref="H18">SUMIFS([1]PositionsAL!U:U,[1]PositionsAL!D:D,"STK")-SUMPRODUCT(SUMIFS([1]PositionsAL!U:U,[1]PositionsAL!D:D,"STK",[1]PositionsAL!F:F,GlobalETF!A:A))-SUMPRODUCT(SUMIFS([1]PositionsAL!U:U,[1]PositionsAL!D:D,"STK",[1]PositionsAL!F:F,GrowthEngine!A:A))-SUMPRODUCT(SUMIFS([1]PositionsAL!U:U,[1]PositionsAL!D:D,"STK",[1]PositionsAL!F:F,IncomeStrategy!A:A))-SUMPRODUCT(SUMIFS([1]PositionsAL!U:U,[1]PositionsAL!D:D,"STK",[1]PositionsAL!F:F,Gold!A:A))</f>
        <v>14375.646400000016</v>
      </c>
      <c r="I18" s="16">
        <f>H18/G18</f>
        <v>1.040102478950178</v>
      </c>
      <c r="J18" s="30">
        <f t="shared" si="0"/>
        <v>34190.832800000004</v>
      </c>
      <c r="K18" s="16">
        <f t="shared" si="1"/>
        <v>1.3709551362952435</v>
      </c>
      <c r="L18" s="15">
        <f t="shared" si="2"/>
        <v>9251.4078000000009</v>
      </c>
      <c r="M18" s="31"/>
    </row>
    <row r="19" spans="1:13" x14ac:dyDescent="0.2">
      <c r="A19" s="21" t="s">
        <v>184</v>
      </c>
      <c r="B19" s="29">
        <v>0.5</v>
      </c>
      <c r="C19" s="15">
        <f>$C$17*B19</f>
        <v>24939.425000000003</v>
      </c>
      <c r="D19" s="15">
        <f>$D$17*B19</f>
        <v>11118.050000000001</v>
      </c>
      <c r="E19" s="15">
        <f>SUMIFS([1]PositionsHK!U:U,[1]PositionsHK!D:D,"OPT",[1]PositionsHK!T:T,"Long")+SUMIFS([1]PositionsHK!U:U,[1]PositionsHK!D:D,"FOP",[1]PositionsHK!T:T,"Long")</f>
        <v>4540</v>
      </c>
      <c r="F19" s="16">
        <f t="shared" si="16"/>
        <v>0.32847672536198463</v>
      </c>
      <c r="G19" s="15">
        <f>$G$17*B19</f>
        <v>13821.375</v>
      </c>
      <c r="H19" s="15">
        <f>SUMIFS([1]PositionsAL!U:U,[1]PositionsAL!D:D,"OPT",[1]PositionsAL!T:T,"Long")+SUMIFS([1]PositionsAL!U:U,[1]PositionsAL!D:D,"FOP",[1]PositionsAL!T:T,"Long")</f>
        <v>0</v>
      </c>
      <c r="I19" s="16">
        <f>H19/G19</f>
        <v>0</v>
      </c>
      <c r="J19" s="30">
        <f t="shared" si="0"/>
        <v>4540</v>
      </c>
      <c r="K19" s="16">
        <f t="shared" si="1"/>
        <v>0.18204108555028833</v>
      </c>
      <c r="L19" s="15">
        <f t="shared" si="2"/>
        <v>-20399.425000000003</v>
      </c>
      <c r="M19" s="31"/>
    </row>
    <row r="20" spans="1:13" x14ac:dyDescent="0.2">
      <c r="A20" s="23" t="s">
        <v>174</v>
      </c>
      <c r="B20" s="24">
        <v>0.03</v>
      </c>
      <c r="C20" s="19">
        <f>$C$2*B20</f>
        <v>29927.309999999998</v>
      </c>
      <c r="D20" s="19">
        <f>$D$2*B20</f>
        <v>13341.66</v>
      </c>
      <c r="E20" s="19">
        <f>SUMIFS([1]PositionsHK!U:U,[1]PositionsHK!F:F,"GSD")</f>
        <v>21751.0461</v>
      </c>
      <c r="F20" s="20">
        <f t="shared" si="16"/>
        <v>1.3114376644870718</v>
      </c>
      <c r="G20" s="19">
        <f>$G$2*B20</f>
        <v>16585.649999999998</v>
      </c>
      <c r="H20" s="19">
        <f>SUMIFS([1]PositionsAL!U:U,[1]PositionsAL!F:F,"GSD")</f>
        <v>4350.2092199999997</v>
      </c>
      <c r="I20" s="20">
        <f t="shared" si="15"/>
        <v>0.26228753289741435</v>
      </c>
      <c r="J20" s="25">
        <f t="shared" si="0"/>
        <v>26101.25532</v>
      </c>
      <c r="K20" s="20">
        <f t="shared" si="1"/>
        <v>0.87215507574853879</v>
      </c>
      <c r="L20" s="19">
        <f t="shared" si="2"/>
        <v>-3826.0546799999975</v>
      </c>
    </row>
    <row r="21" spans="1:13" x14ac:dyDescent="0.2">
      <c r="A21" s="23" t="s">
        <v>171</v>
      </c>
      <c r="B21" s="24">
        <v>7.0000000000000007E-2</v>
      </c>
      <c r="C21" s="19">
        <f>$C$2*B21</f>
        <v>69830.39</v>
      </c>
      <c r="D21" s="19">
        <f>$D$2*B21</f>
        <v>31130.540000000005</v>
      </c>
      <c r="E21" s="32">
        <f>SUMIFS([1]PositionsHK!$U:$U,[1]PositionsHK!$D:$D,"CASH")</f>
        <v>112742.88745569601</v>
      </c>
      <c r="F21" s="20">
        <f t="shared" si="16"/>
        <v>2.9132641975536337</v>
      </c>
      <c r="G21" s="19">
        <f>$G$2*B21</f>
        <v>38699.850000000006</v>
      </c>
      <c r="H21" s="32">
        <f>SUMIFS([1]PositionsAL!$U:$U,[1]PositionsAL!$D:$D,"CASH")</f>
        <v>136454.94040422101</v>
      </c>
      <c r="I21" s="20">
        <f t="shared" si="15"/>
        <v>3.5259811188989358</v>
      </c>
      <c r="J21" s="25">
        <f t="shared" si="0"/>
        <v>249197.82785991702</v>
      </c>
      <c r="K21" s="20">
        <f t="shared" si="1"/>
        <v>3.56861572532986</v>
      </c>
      <c r="L21" s="19">
        <f t="shared" si="2"/>
        <v>179367.437859917</v>
      </c>
    </row>
    <row r="22" spans="1:13" x14ac:dyDescent="0.2">
      <c r="A22" s="10"/>
      <c r="B22" s="11">
        <f>B4+B10+B16+B17+B20+B21</f>
        <v>1</v>
      </c>
      <c r="C22" s="10"/>
      <c r="D22" s="10"/>
      <c r="E22" s="12">
        <f>E4+E10+E16+E20+E21+E18-E19</f>
        <v>440078.41700569598</v>
      </c>
      <c r="F22" s="12"/>
      <c r="G22" s="12"/>
      <c r="H22" s="12">
        <f>H4+H10+H16+H20+H21+H18-H19</f>
        <v>551353.71612422098</v>
      </c>
      <c r="I22" s="10"/>
      <c r="J22" s="10"/>
      <c r="K22" s="10"/>
      <c r="L22" s="10"/>
    </row>
    <row r="23" spans="1:13" x14ac:dyDescent="0.2">
      <c r="E23" s="7"/>
      <c r="H23" s="7"/>
    </row>
    <row r="24" spans="1:13" x14ac:dyDescent="0.2">
      <c r="A24" s="33"/>
    </row>
    <row r="49" spans="1:5" x14ac:dyDescent="0.2">
      <c r="A49" s="36"/>
      <c r="B49" s="36" t="s">
        <v>5</v>
      </c>
      <c r="C49" s="36" t="s">
        <v>185</v>
      </c>
      <c r="D49" s="40"/>
      <c r="E49" s="40"/>
    </row>
    <row r="50" spans="1:5" x14ac:dyDescent="0.2">
      <c r="A50" s="37" t="str">
        <f>A4</f>
        <v>Global ETF (The stragic core)</v>
      </c>
      <c r="B50" s="38">
        <f>C4</f>
        <v>299273.09999999998</v>
      </c>
      <c r="C50" s="39">
        <f>J4</f>
        <v>425631.65714999998</v>
      </c>
      <c r="D50" s="40"/>
      <c r="E50" s="40"/>
    </row>
    <row r="51" spans="1:5" x14ac:dyDescent="0.2">
      <c r="A51" s="37" t="str">
        <f>A10</f>
        <v>Growth Engine (The five horseman)</v>
      </c>
      <c r="B51" s="38">
        <f>C10</f>
        <v>299273.09999999998</v>
      </c>
      <c r="C51" s="39">
        <f>J10</f>
        <v>121670.56</v>
      </c>
      <c r="D51" s="40"/>
      <c r="E51" s="40"/>
    </row>
    <row r="52" spans="1:5" x14ac:dyDescent="0.2">
      <c r="A52" s="37" t="str">
        <f>A16</f>
        <v>Income Strategy (The wheel)</v>
      </c>
      <c r="B52" s="38">
        <f>C16</f>
        <v>249394.25</v>
      </c>
      <c r="C52" s="39">
        <f>J16</f>
        <v>139180</v>
      </c>
      <c r="D52" s="40"/>
      <c r="E52" s="40"/>
    </row>
    <row r="53" spans="1:5" x14ac:dyDescent="0.2">
      <c r="A53" s="37" t="str">
        <f>A18</f>
        <v>The Sniper (theme stocks)</v>
      </c>
      <c r="B53" s="38">
        <f>C18</f>
        <v>24939.425000000003</v>
      </c>
      <c r="C53" s="39">
        <f>J18</f>
        <v>34190.832800000004</v>
      </c>
      <c r="D53" s="40"/>
      <c r="E53" s="40"/>
    </row>
    <row r="54" spans="1:5" x14ac:dyDescent="0.2">
      <c r="A54" s="37" t="str">
        <f>A19</f>
        <v>The Hedge (buy puts QQQ -15% OTM)</v>
      </c>
      <c r="B54" s="38">
        <f>C19</f>
        <v>24939.425000000003</v>
      </c>
      <c r="C54" s="39">
        <f>J19</f>
        <v>4540</v>
      </c>
      <c r="D54" s="40"/>
      <c r="E54" s="40"/>
    </row>
    <row r="55" spans="1:5" x14ac:dyDescent="0.2">
      <c r="A55" s="37" t="str">
        <f>A20</f>
        <v>Reserve: Gold</v>
      </c>
      <c r="B55" s="38">
        <f>C20</f>
        <v>29927.309999999998</v>
      </c>
      <c r="C55" s="39">
        <f>J20</f>
        <v>26101.25532</v>
      </c>
      <c r="D55" s="40"/>
      <c r="E55" s="40"/>
    </row>
    <row r="56" spans="1:5" x14ac:dyDescent="0.2">
      <c r="A56" s="37" t="str">
        <f>A21</f>
        <v>Reserve: Cash</v>
      </c>
      <c r="B56" s="38">
        <f>C21</f>
        <v>69830.39</v>
      </c>
      <c r="C56" s="39">
        <f>J21</f>
        <v>249197.82785991702</v>
      </c>
      <c r="D56" s="40"/>
      <c r="E56" s="40"/>
    </row>
  </sheetData>
  <conditionalFormatting sqref="F4:F21">
    <cfRule type="expression" dxfId="39" priority="152">
      <formula>AND(F4&gt;=80%, F4&lt;=120%)</formula>
    </cfRule>
    <cfRule type="expression" dxfId="38" priority="151">
      <formula>AND(F4&gt;=50%, F4&lt;80%)</formula>
    </cfRule>
    <cfRule type="expression" dxfId="37" priority="150">
      <formula>AND(F4&lt;50%)</formula>
    </cfRule>
    <cfRule type="expression" dxfId="36" priority="149">
      <formula>AND(F4&gt;=120%)</formula>
    </cfRule>
  </conditionalFormatting>
  <conditionalFormatting sqref="I4:I9">
    <cfRule type="expression" dxfId="35" priority="85">
      <formula>AND(I4&gt;=120%)</formula>
    </cfRule>
    <cfRule type="expression" dxfId="34" priority="88">
      <formula>AND(I4&gt;=80%, I4&lt;=120%)</formula>
    </cfRule>
    <cfRule type="expression" dxfId="33" priority="87">
      <formula>AND(I4&gt;=50%, I4&lt;80%)</formula>
    </cfRule>
    <cfRule type="expression" dxfId="32" priority="86">
      <formula>AND(I4&lt;50%)</formula>
    </cfRule>
  </conditionalFormatting>
  <conditionalFormatting sqref="I8:I9">
    <cfRule type="expression" dxfId="31" priority="81">
      <formula>AND(I8&gt;=120%)</formula>
    </cfRule>
    <cfRule type="expression" dxfId="30" priority="84">
      <formula>AND(I8&gt;=80%, I8&lt;=120%)</formula>
    </cfRule>
    <cfRule type="expression" dxfId="29" priority="83">
      <formula>AND(I8&gt;=50%, I8&lt;80%)</formula>
    </cfRule>
    <cfRule type="expression" dxfId="28" priority="82">
      <formula>AND(I8&lt;50%)</formula>
    </cfRule>
  </conditionalFormatting>
  <conditionalFormatting sqref="I10:I15">
    <cfRule type="expression" dxfId="27" priority="125">
      <formula>AND(I10&gt;=120%)</formula>
    </cfRule>
    <cfRule type="expression" dxfId="26" priority="126">
      <formula>AND(I10&lt;50%)</formula>
    </cfRule>
    <cfRule type="expression" dxfId="25" priority="127">
      <formula>AND(I10&gt;=50%, I10&lt;80%)</formula>
    </cfRule>
    <cfRule type="expression" dxfId="24" priority="128">
      <formula>AND(I10&gt;=80%, I10&lt;=120%)</formula>
    </cfRule>
  </conditionalFormatting>
  <conditionalFormatting sqref="I14">
    <cfRule type="expression" dxfId="23" priority="121">
      <formula>AND(I14&gt;=120%)</formula>
    </cfRule>
    <cfRule type="expression" dxfId="22" priority="122">
      <formula>AND(I14&lt;50%)</formula>
    </cfRule>
    <cfRule type="expression" dxfId="21" priority="123">
      <formula>AND(I14&gt;=50%, I14&lt;80%)</formula>
    </cfRule>
    <cfRule type="expression" dxfId="20" priority="124">
      <formula>AND(I14&gt;=80%, I14&lt;=120%)</formula>
    </cfRule>
  </conditionalFormatting>
  <conditionalFormatting sqref="I16:I21">
    <cfRule type="expression" dxfId="19" priority="97">
      <formula>AND(I16&gt;=120%)</formula>
    </cfRule>
    <cfRule type="expression" dxfId="18" priority="98">
      <formula>AND(I16&lt;50%)</formula>
    </cfRule>
    <cfRule type="expression" dxfId="17" priority="99">
      <formula>AND(I16&gt;=50%, I16&lt;80%)</formula>
    </cfRule>
    <cfRule type="expression" dxfId="16" priority="100">
      <formula>AND(I16&gt;=80%, I16&lt;=120%)</formula>
    </cfRule>
  </conditionalFormatting>
  <conditionalFormatting sqref="K4:K8">
    <cfRule type="expression" dxfId="15" priority="62">
      <formula>AND(K4&lt;50%)</formula>
    </cfRule>
    <cfRule type="expression" dxfId="14" priority="63">
      <formula>AND(K4&gt;=50%, K4&lt;80%)</formula>
    </cfRule>
    <cfRule type="expression" dxfId="13" priority="64">
      <formula>AND(K4&gt;=80%, K4&lt;=120%)</formula>
    </cfRule>
    <cfRule type="expression" dxfId="12" priority="61">
      <formula>AND(K4&gt;=120%)</formula>
    </cfRule>
  </conditionalFormatting>
  <conditionalFormatting sqref="K8:K10">
    <cfRule type="expression" dxfId="11" priority="56">
      <formula>AND(K8&gt;=80%, K8&lt;=120%)</formula>
    </cfRule>
    <cfRule type="expression" dxfId="10" priority="55">
      <formula>AND(K8&gt;=50%, K8&lt;80%)</formula>
    </cfRule>
    <cfRule type="expression" dxfId="9" priority="54">
      <formula>AND(K8&lt;50%)</formula>
    </cfRule>
    <cfRule type="expression" dxfId="8" priority="53">
      <formula>AND(K8&gt;=120%)</formula>
    </cfRule>
  </conditionalFormatting>
  <conditionalFormatting sqref="K9:K14">
    <cfRule type="expression" dxfId="7" priority="34">
      <formula>AND(K9&lt;50%)</formula>
    </cfRule>
    <cfRule type="expression" dxfId="6" priority="33">
      <formula>AND(K9&gt;=120%)</formula>
    </cfRule>
    <cfRule type="expression" dxfId="5" priority="36">
      <formula>AND(K9&gt;=80%, K9&lt;=120%)</formula>
    </cfRule>
    <cfRule type="expression" dxfId="4" priority="35">
      <formula>AND(K9&gt;=50%, K9&lt;80%)</formula>
    </cfRule>
  </conditionalFormatting>
  <conditionalFormatting sqref="K14:K21">
    <cfRule type="expression" dxfId="3" priority="4">
      <formula>AND(K14&gt;=80%, K14&lt;=120%)</formula>
    </cfRule>
    <cfRule type="expression" dxfId="2" priority="3">
      <formula>AND(K14&gt;=50%, K14&lt;80%)</formula>
    </cfRule>
    <cfRule type="expression" dxfId="1" priority="2">
      <formula>AND(K14&lt;50%)</formula>
    </cfRule>
    <cfRule type="expression" dxfId="0" priority="1">
      <formula>AND(K14&gt;=120%)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A2" sqref="A2:A6"/>
    </sheetView>
  </sheetViews>
  <sheetFormatPr baseColWidth="10" defaultRowHeight="16" x14ac:dyDescent="0.2"/>
  <cols>
    <col min="1" max="2" width="8.1640625" style="1" bestFit="1" customWidth="1"/>
    <col min="3" max="3" width="20" style="1" bestFit="1" customWidth="1"/>
    <col min="4" max="4" width="21.1640625" style="1" bestFit="1" customWidth="1"/>
    <col min="5" max="5" width="20" style="1" bestFit="1" customWidth="1"/>
    <col min="6" max="6" width="75.5" style="1" bestFit="1" customWidth="1"/>
    <col min="7" max="7" width="10.83203125" style="1" customWidth="1"/>
    <col min="8" max="16384" width="10.83203125" style="1"/>
  </cols>
  <sheetData>
    <row r="1" spans="1:6" x14ac:dyDescent="0.2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 spans="1:6" x14ac:dyDescent="0.2">
      <c r="A2" s="6">
        <v>82846</v>
      </c>
      <c r="B2" s="4">
        <v>0.15</v>
      </c>
      <c r="C2" s="1" t="s">
        <v>30</v>
      </c>
      <c r="D2" s="1" t="s">
        <v>31</v>
      </c>
      <c r="E2" s="5">
        <v>3.8E-3</v>
      </c>
      <c r="F2" s="1" t="s">
        <v>32</v>
      </c>
    </row>
    <row r="3" spans="1:6" x14ac:dyDescent="0.2">
      <c r="A3" s="1" t="s">
        <v>33</v>
      </c>
      <c r="B3" s="4">
        <v>0.1</v>
      </c>
      <c r="C3" s="1" t="s">
        <v>34</v>
      </c>
      <c r="D3" s="1" t="s">
        <v>35</v>
      </c>
      <c r="E3" s="1" t="s">
        <v>36</v>
      </c>
      <c r="F3" s="1" t="s">
        <v>37</v>
      </c>
    </row>
    <row r="4" spans="1:6" x14ac:dyDescent="0.2">
      <c r="A4" s="1" t="s">
        <v>38</v>
      </c>
      <c r="B4" s="4">
        <v>0.15</v>
      </c>
      <c r="C4" s="1" t="s">
        <v>39</v>
      </c>
      <c r="D4" s="1" t="s">
        <v>40</v>
      </c>
      <c r="E4" s="5">
        <v>2.8E-3</v>
      </c>
      <c r="F4" s="1" t="s">
        <v>41</v>
      </c>
    </row>
    <row r="5" spans="1:6" x14ac:dyDescent="0.2">
      <c r="A5" s="1" t="s">
        <v>42</v>
      </c>
      <c r="B5" s="4">
        <v>0.1</v>
      </c>
      <c r="C5" s="1" t="s">
        <v>43</v>
      </c>
      <c r="D5" s="1" t="s">
        <v>44</v>
      </c>
      <c r="E5" s="5">
        <v>1.9E-3</v>
      </c>
      <c r="F5" s="1" t="s">
        <v>45</v>
      </c>
    </row>
    <row r="6" spans="1:6" x14ac:dyDescent="0.2">
      <c r="A6" s="1" t="s">
        <v>46</v>
      </c>
      <c r="B6" s="4">
        <v>0.5</v>
      </c>
      <c r="C6" s="1" t="s">
        <v>34</v>
      </c>
      <c r="D6" s="1" t="s">
        <v>44</v>
      </c>
      <c r="E6" s="5">
        <v>1.9E-3</v>
      </c>
      <c r="F6" s="1" t="s">
        <v>47</v>
      </c>
    </row>
    <row r="7" spans="1:6" x14ac:dyDescent="0.2">
      <c r="E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"/>
  <sheetViews>
    <sheetView workbookViewId="0">
      <selection activeCell="F12" sqref="F1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9.33203125" style="1" bestFit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16.5" style="1" bestFit="1" customWidth="1"/>
    <col min="8" max="8" width="68.33203125" style="1" bestFit="1" customWidth="1"/>
    <col min="9" max="9" width="12.83203125" style="1" bestFit="1" customWidth="1"/>
    <col min="10" max="11" width="15.1640625" style="1" bestFit="1" customWidth="1"/>
    <col min="12" max="13" width="11.6640625" style="1" bestFit="1" customWidth="1"/>
    <col min="14" max="14" width="10.83203125" style="1" customWidth="1"/>
    <col min="15" max="16384" width="10.83203125" style="1"/>
  </cols>
  <sheetData>
    <row r="1" spans="1:13" x14ac:dyDescent="0.2">
      <c r="A1" s="1" t="s">
        <v>24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0</v>
      </c>
      <c r="K1" s="1" t="s">
        <v>1</v>
      </c>
      <c r="L1" s="1" t="s">
        <v>6</v>
      </c>
      <c r="M1" s="1" t="s">
        <v>8</v>
      </c>
    </row>
    <row r="2" spans="1:13" x14ac:dyDescent="0.2">
      <c r="A2" s="1" t="s">
        <v>56</v>
      </c>
      <c r="B2" s="1" t="s">
        <v>57</v>
      </c>
      <c r="C2" s="1" t="s">
        <v>58</v>
      </c>
      <c r="D2" s="1" t="s">
        <v>59</v>
      </c>
      <c r="E2" s="5">
        <v>3.3E-3</v>
      </c>
      <c r="F2" s="5">
        <v>0.20499999999999999</v>
      </c>
      <c r="G2" s="1" t="s">
        <v>60</v>
      </c>
      <c r="H2" s="1" t="s">
        <v>16</v>
      </c>
      <c r="I2" s="4">
        <v>0.4</v>
      </c>
      <c r="J2" s="7">
        <f>Dashboard!$D$10*GrowthEngine!I2</f>
        <v>53366.640000000007</v>
      </c>
      <c r="K2" s="7">
        <f>Dashboard!$G$10*GrowthEngine!I2</f>
        <v>66342.600000000006</v>
      </c>
    </row>
    <row r="3" spans="1:13" x14ac:dyDescent="0.2">
      <c r="A3" s="1" t="s">
        <v>61</v>
      </c>
      <c r="B3" s="1" t="s">
        <v>57</v>
      </c>
      <c r="C3" s="1" t="s">
        <v>58</v>
      </c>
      <c r="D3" s="1" t="s">
        <v>62</v>
      </c>
      <c r="E3" s="5">
        <v>4.4999999999999997E-3</v>
      </c>
      <c r="F3" s="5">
        <v>0.35499999999999998</v>
      </c>
      <c r="G3" s="1" t="s">
        <v>63</v>
      </c>
      <c r="H3" s="1" t="s">
        <v>18</v>
      </c>
      <c r="I3" s="4">
        <v>0.2</v>
      </c>
      <c r="J3" s="7">
        <f>Dashboard!$D$10*GrowthEngine!I3</f>
        <v>26683.320000000003</v>
      </c>
      <c r="K3" s="7">
        <f>Dashboard!$G$10*GrowthEngine!I3</f>
        <v>33171.300000000003</v>
      </c>
    </row>
    <row r="4" spans="1:13" x14ac:dyDescent="0.2">
      <c r="A4" s="1" t="s">
        <v>64</v>
      </c>
      <c r="B4" s="1" t="s">
        <v>65</v>
      </c>
      <c r="C4" s="1" t="s">
        <v>58</v>
      </c>
      <c r="D4" s="1" t="s">
        <v>66</v>
      </c>
      <c r="E4" s="5">
        <v>4.0000000000000001E-3</v>
      </c>
      <c r="F4" s="5">
        <v>0.185</v>
      </c>
      <c r="G4" s="1" t="s">
        <v>67</v>
      </c>
      <c r="H4" s="1" t="s">
        <v>19</v>
      </c>
      <c r="I4" s="4">
        <v>0.15</v>
      </c>
      <c r="J4" s="7">
        <f>Dashboard!$D$10*GrowthEngine!I4</f>
        <v>20012.490000000002</v>
      </c>
      <c r="K4" s="7">
        <f>Dashboard!$G$10*GrowthEngine!I4</f>
        <v>24878.474999999999</v>
      </c>
    </row>
    <row r="5" spans="1:13" x14ac:dyDescent="0.2">
      <c r="A5" s="1" t="s">
        <v>68</v>
      </c>
      <c r="B5" s="1" t="s">
        <v>69</v>
      </c>
      <c r="C5" s="1" t="s">
        <v>58</v>
      </c>
      <c r="D5" s="1" t="s">
        <v>70</v>
      </c>
      <c r="E5" s="5">
        <v>6.4999999999999997E-3</v>
      </c>
      <c r="F5" s="5">
        <v>0.46</v>
      </c>
      <c r="G5" s="1" t="s">
        <v>71</v>
      </c>
      <c r="H5" s="1" t="s">
        <v>23</v>
      </c>
      <c r="I5" s="4">
        <v>0.1</v>
      </c>
      <c r="J5" s="7">
        <f>Dashboard!$D$10*GrowthEngine!I5</f>
        <v>13341.660000000002</v>
      </c>
      <c r="K5" s="7">
        <f>Dashboard!$G$10*GrowthEngine!I5</f>
        <v>16585.650000000001</v>
      </c>
    </row>
    <row r="6" spans="1:13" x14ac:dyDescent="0.2">
      <c r="A6" s="1" t="s">
        <v>72</v>
      </c>
      <c r="B6" s="1" t="s">
        <v>57</v>
      </c>
      <c r="C6" s="1" t="s">
        <v>58</v>
      </c>
      <c r="D6" s="1" t="s">
        <v>73</v>
      </c>
      <c r="E6" s="5">
        <v>4.0000000000000001E-3</v>
      </c>
      <c r="F6" s="5">
        <v>0.115</v>
      </c>
      <c r="G6" s="1" t="s">
        <v>74</v>
      </c>
      <c r="H6" s="1" t="s">
        <v>21</v>
      </c>
      <c r="I6" s="4">
        <v>0.15</v>
      </c>
      <c r="J6" s="7">
        <f>Dashboard!$D$10*GrowthEngine!I6</f>
        <v>20012.490000000002</v>
      </c>
      <c r="K6" s="7">
        <f>Dashboard!$G$10*GrowthEngine!I6</f>
        <v>24878.474999999999</v>
      </c>
    </row>
    <row r="7" spans="1:13" x14ac:dyDescent="0.2">
      <c r="I7" s="4">
        <f>SUM(I2:I6)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A6" sqref="A6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8" t="s">
        <v>24</v>
      </c>
      <c r="B1" s="8" t="s">
        <v>3</v>
      </c>
      <c r="C1" s="8" t="s">
        <v>75</v>
      </c>
      <c r="D1" s="8" t="s">
        <v>76</v>
      </c>
      <c r="E1" s="8" t="s">
        <v>77</v>
      </c>
    </row>
    <row r="2" spans="1:5" x14ac:dyDescent="0.2">
      <c r="A2" s="8" t="s">
        <v>78</v>
      </c>
      <c r="B2" s="8" t="s">
        <v>79</v>
      </c>
      <c r="C2" s="8" t="s">
        <v>80</v>
      </c>
      <c r="D2" s="8" t="s">
        <v>81</v>
      </c>
      <c r="E2" s="8" t="s">
        <v>82</v>
      </c>
    </row>
    <row r="3" spans="1:5" x14ac:dyDescent="0.2">
      <c r="A3" s="8" t="s">
        <v>83</v>
      </c>
      <c r="B3" s="8" t="s">
        <v>84</v>
      </c>
      <c r="C3" s="8" t="s">
        <v>85</v>
      </c>
      <c r="D3" s="8" t="s">
        <v>86</v>
      </c>
      <c r="E3" s="8" t="s">
        <v>87</v>
      </c>
    </row>
    <row r="4" spans="1:5" x14ac:dyDescent="0.2">
      <c r="A4" s="8" t="s">
        <v>88</v>
      </c>
      <c r="B4" s="8" t="s">
        <v>84</v>
      </c>
      <c r="C4" s="8" t="s">
        <v>85</v>
      </c>
      <c r="D4" s="8" t="s">
        <v>89</v>
      </c>
      <c r="E4" s="8" t="s">
        <v>90</v>
      </c>
    </row>
    <row r="5" spans="1:5" x14ac:dyDescent="0.2">
      <c r="A5" s="8" t="s">
        <v>92</v>
      </c>
      <c r="B5" s="8" t="s">
        <v>84</v>
      </c>
      <c r="C5" s="8" t="s">
        <v>91</v>
      </c>
      <c r="D5" s="8" t="s">
        <v>93</v>
      </c>
      <c r="E5" s="8" t="s">
        <v>94</v>
      </c>
    </row>
    <row r="6" spans="1:5" x14ac:dyDescent="0.2">
      <c r="A6" s="8" t="s">
        <v>95</v>
      </c>
      <c r="B6" s="8" t="s">
        <v>84</v>
      </c>
      <c r="C6" s="8" t="s">
        <v>96</v>
      </c>
      <c r="D6" s="8" t="s">
        <v>97</v>
      </c>
      <c r="E6" s="8" t="s">
        <v>98</v>
      </c>
    </row>
    <row r="7" spans="1:5" x14ac:dyDescent="0.2">
      <c r="A7" s="8" t="s">
        <v>99</v>
      </c>
      <c r="B7" s="8" t="s">
        <v>84</v>
      </c>
      <c r="C7" s="8" t="s">
        <v>85</v>
      </c>
      <c r="D7" s="8" t="s">
        <v>100</v>
      </c>
      <c r="E7" s="8" t="s">
        <v>101</v>
      </c>
    </row>
    <row r="8" spans="1:5" x14ac:dyDescent="0.2">
      <c r="A8" s="8" t="s">
        <v>102</v>
      </c>
      <c r="B8" s="8" t="s">
        <v>103</v>
      </c>
      <c r="C8" s="9" t="s">
        <v>104</v>
      </c>
      <c r="D8" s="9" t="s">
        <v>105</v>
      </c>
      <c r="E8" s="9" t="s">
        <v>106</v>
      </c>
    </row>
    <row r="9" spans="1:5" x14ac:dyDescent="0.2">
      <c r="A9" s="8" t="s">
        <v>107</v>
      </c>
      <c r="B9" s="8" t="s">
        <v>103</v>
      </c>
      <c r="C9" s="9" t="s">
        <v>108</v>
      </c>
      <c r="D9" s="9" t="s">
        <v>109</v>
      </c>
      <c r="E9" s="9" t="s">
        <v>110</v>
      </c>
    </row>
    <row r="10" spans="1:5" x14ac:dyDescent="0.2">
      <c r="A10" s="8" t="s">
        <v>111</v>
      </c>
      <c r="B10" s="8" t="s">
        <v>103</v>
      </c>
      <c r="C10" s="9" t="s">
        <v>91</v>
      </c>
      <c r="D10" s="9" t="s">
        <v>112</v>
      </c>
      <c r="E10" s="9" t="s">
        <v>113</v>
      </c>
    </row>
    <row r="11" spans="1:5" x14ac:dyDescent="0.2">
      <c r="A11" s="8" t="s">
        <v>114</v>
      </c>
      <c r="B11" s="8" t="s">
        <v>115</v>
      </c>
      <c r="C11" s="8" t="s">
        <v>91</v>
      </c>
      <c r="D11" s="8" t="s">
        <v>116</v>
      </c>
      <c r="E11" s="8" t="s">
        <v>117</v>
      </c>
    </row>
    <row r="12" spans="1:5" x14ac:dyDescent="0.2">
      <c r="A12" s="8" t="s">
        <v>118</v>
      </c>
      <c r="B12" s="8" t="s">
        <v>119</v>
      </c>
      <c r="C12" s="8" t="s">
        <v>91</v>
      </c>
      <c r="D12" s="8" t="s">
        <v>120</v>
      </c>
      <c r="E12" s="8" t="s">
        <v>121</v>
      </c>
    </row>
    <row r="13" spans="1:5" x14ac:dyDescent="0.2">
      <c r="A13" s="8" t="s">
        <v>122</v>
      </c>
      <c r="B13" s="8" t="s">
        <v>119</v>
      </c>
      <c r="C13" s="8" t="s">
        <v>85</v>
      </c>
      <c r="D13" s="8" t="s">
        <v>123</v>
      </c>
      <c r="E13" s="8" t="s">
        <v>124</v>
      </c>
    </row>
    <row r="14" spans="1:5" x14ac:dyDescent="0.2">
      <c r="A14" s="8" t="s">
        <v>125</v>
      </c>
      <c r="B14" s="8" t="s">
        <v>126</v>
      </c>
      <c r="C14" s="8" t="s">
        <v>85</v>
      </c>
      <c r="D14" s="8" t="s">
        <v>127</v>
      </c>
      <c r="E14" s="8" t="s">
        <v>128</v>
      </c>
    </row>
    <row r="15" spans="1:5" x14ac:dyDescent="0.2">
      <c r="A15" s="8" t="s">
        <v>129</v>
      </c>
      <c r="B15" s="8" t="s">
        <v>126</v>
      </c>
      <c r="C15" s="8" t="s">
        <v>91</v>
      </c>
      <c r="D15" s="8" t="s">
        <v>130</v>
      </c>
      <c r="E15" s="8" t="s">
        <v>131</v>
      </c>
    </row>
    <row r="16" spans="1:5" x14ac:dyDescent="0.2">
      <c r="A16" s="8" t="s">
        <v>132</v>
      </c>
      <c r="B16" s="8" t="s">
        <v>133</v>
      </c>
      <c r="C16" s="8" t="s">
        <v>134</v>
      </c>
      <c r="D16" s="8" t="s">
        <v>135</v>
      </c>
      <c r="E16" s="8" t="s">
        <v>136</v>
      </c>
    </row>
    <row r="17" spans="1:5" x14ac:dyDescent="0.2">
      <c r="A17" s="8" t="s">
        <v>137</v>
      </c>
      <c r="B17" s="8" t="s">
        <v>133</v>
      </c>
      <c r="C17" s="8" t="s">
        <v>85</v>
      </c>
      <c r="D17" s="8" t="s">
        <v>138</v>
      </c>
      <c r="E17" s="8" t="s">
        <v>139</v>
      </c>
    </row>
    <row r="18" spans="1:5" x14ac:dyDescent="0.2">
      <c r="A18" s="8" t="s">
        <v>140</v>
      </c>
      <c r="B18" s="8" t="s">
        <v>133</v>
      </c>
      <c r="C18" s="8" t="s">
        <v>141</v>
      </c>
      <c r="D18" s="8" t="s">
        <v>142</v>
      </c>
      <c r="E18" s="8" t="s">
        <v>143</v>
      </c>
    </row>
    <row r="19" spans="1:5" x14ac:dyDescent="0.2">
      <c r="A19" s="8" t="s">
        <v>144</v>
      </c>
      <c r="B19" s="8" t="s">
        <v>133</v>
      </c>
      <c r="C19" s="8" t="s">
        <v>145</v>
      </c>
      <c r="D19" s="8" t="s">
        <v>146</v>
      </c>
      <c r="E19" s="8" t="s">
        <v>147</v>
      </c>
    </row>
    <row r="20" spans="1:5" x14ac:dyDescent="0.2">
      <c r="A20" s="8" t="s">
        <v>148</v>
      </c>
      <c r="B20" s="8" t="s">
        <v>133</v>
      </c>
      <c r="C20" s="8" t="s">
        <v>91</v>
      </c>
      <c r="D20" s="8" t="s">
        <v>149</v>
      </c>
      <c r="E20" s="8" t="s">
        <v>150</v>
      </c>
    </row>
    <row r="21" spans="1:5" x14ac:dyDescent="0.2">
      <c r="A21" s="8" t="s">
        <v>151</v>
      </c>
      <c r="B21" s="8" t="s">
        <v>133</v>
      </c>
      <c r="C21" s="8" t="s">
        <v>152</v>
      </c>
      <c r="D21" s="8" t="s">
        <v>153</v>
      </c>
      <c r="E21" s="8" t="s">
        <v>154</v>
      </c>
    </row>
    <row r="22" spans="1:5" x14ac:dyDescent="0.2">
      <c r="A22" s="8" t="s">
        <v>155</v>
      </c>
      <c r="B22" s="8" t="s">
        <v>133</v>
      </c>
      <c r="C22" s="8" t="s">
        <v>156</v>
      </c>
      <c r="D22" s="8" t="s">
        <v>157</v>
      </c>
      <c r="E22" s="8" t="s">
        <v>158</v>
      </c>
    </row>
    <row r="23" spans="1:5" x14ac:dyDescent="0.2">
      <c r="A23" s="8" t="s">
        <v>159</v>
      </c>
      <c r="B23" s="8" t="s">
        <v>160</v>
      </c>
      <c r="C23" s="8" t="s">
        <v>152</v>
      </c>
      <c r="D23" s="8" t="s">
        <v>161</v>
      </c>
      <c r="E23" s="8" t="s">
        <v>162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8" t="s">
        <v>24</v>
      </c>
      <c r="B1" s="8" t="s">
        <v>3</v>
      </c>
      <c r="C1" s="8" t="s">
        <v>75</v>
      </c>
      <c r="D1" s="8" t="s">
        <v>76</v>
      </c>
      <c r="E1" s="8" t="s">
        <v>77</v>
      </c>
    </row>
    <row r="2" spans="1:5" s="1" customFormat="1" ht="16" customHeight="1" x14ac:dyDescent="0.2">
      <c r="A2" s="8" t="s">
        <v>163</v>
      </c>
      <c r="B2" s="8" t="s">
        <v>164</v>
      </c>
      <c r="C2" s="8" t="s">
        <v>165</v>
      </c>
      <c r="D2" s="8" t="s">
        <v>166</v>
      </c>
      <c r="E2" s="8" t="s">
        <v>167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P42" sqref="P42"/>
    </sheetView>
  </sheetViews>
  <sheetFormatPr baseColWidth="10" defaultRowHeight="15" x14ac:dyDescent="0.2"/>
  <sheetData>
    <row r="1" spans="1:1" ht="26" customHeight="1" x14ac:dyDescent="0.35">
      <c r="A1" s="3" t="s">
        <v>168</v>
      </c>
    </row>
    <row r="2" spans="1:1" ht="26" customHeight="1" x14ac:dyDescent="0.35">
      <c r="A2" s="3" t="s">
        <v>169</v>
      </c>
    </row>
    <row r="3" spans="1:1" ht="26" customHeight="1" x14ac:dyDescent="0.35">
      <c r="A3" s="3" t="s">
        <v>170</v>
      </c>
    </row>
    <row r="4" spans="1:1" ht="26" customHeight="1" x14ac:dyDescent="0.2"/>
    <row r="5" spans="1:1" ht="26" customHeight="1" x14ac:dyDescent="0.35">
      <c r="A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2026-01-22T04:54:06Z</dcterms:modified>
</cp:coreProperties>
</file>